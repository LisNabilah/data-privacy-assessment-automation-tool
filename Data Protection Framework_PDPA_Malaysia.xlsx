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defaultThemeVersion="166925"/>
  <mc:AlternateContent xmlns:mc="http://schemas.openxmlformats.org/markup-compatibility/2006">
    <mc:Choice Requires="x15">
      <x15ac:absPath xmlns:x15ac="http://schemas.microsoft.com/office/spreadsheetml/2010/11/ac" url="C:\Users\User\Desktop\privacy_tool\"/>
    </mc:Choice>
  </mc:AlternateContent>
  <xr:revisionPtr revIDLastSave="0" documentId="13_ncr:1_{F17C967A-4711-4590-9347-1A016386F6D9}" xr6:coauthVersionLast="47" xr6:coauthVersionMax="47" xr10:uidLastSave="{00000000-0000-0000-0000-000000000000}"/>
  <bookViews>
    <workbookView xWindow="-110" yWindow="-110" windowWidth="19420" windowHeight="10300" autoFilterDateGrouping="0" xr2:uid="{00000000-000D-0000-FFFF-FFFF00000000}"/>
  </bookViews>
  <sheets>
    <sheet name="Data Protection Framework 1" sheetId="22" r:id="rId1"/>
    <sheet name="raw" sheetId="20"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20" l="1"/>
  <c r="H31" i="20"/>
  <c r="G31" i="20"/>
  <c r="F31" i="20"/>
  <c r="E31" i="20"/>
  <c r="H30" i="20"/>
  <c r="G30" i="20"/>
  <c r="F30" i="20"/>
  <c r="E30" i="20"/>
  <c r="H29" i="20"/>
  <c r="G29" i="20"/>
  <c r="F29" i="20"/>
  <c r="E29" i="20"/>
  <c r="H28" i="20"/>
  <c r="G28" i="20"/>
  <c r="F28" i="20"/>
  <c r="E28" i="20"/>
  <c r="H27" i="20"/>
  <c r="G27" i="20"/>
  <c r="F27" i="20"/>
  <c r="E27" i="20"/>
  <c r="H26" i="20"/>
  <c r="G26" i="20"/>
  <c r="F26" i="20"/>
  <c r="E26" i="20"/>
  <c r="H25" i="20"/>
  <c r="G25" i="20"/>
  <c r="F25" i="20"/>
  <c r="E25" i="20"/>
  <c r="H24" i="20"/>
  <c r="G24" i="20"/>
  <c r="F24" i="20"/>
  <c r="E24" i="20"/>
  <c r="H23" i="20"/>
  <c r="G23" i="20"/>
  <c r="F23" i="20"/>
  <c r="E23" i="20"/>
  <c r="H22" i="20"/>
  <c r="G22" i="20"/>
  <c r="F22" i="20"/>
  <c r="E22" i="20"/>
  <c r="H21" i="20"/>
  <c r="G21" i="20"/>
  <c r="F21" i="20"/>
  <c r="E21" i="20"/>
  <c r="H20" i="20"/>
  <c r="G20" i="20"/>
  <c r="F20" i="20"/>
  <c r="E20" i="20"/>
  <c r="H19" i="20"/>
  <c r="G19" i="20"/>
  <c r="F19" i="20"/>
  <c r="E19" i="20"/>
  <c r="H18" i="20"/>
  <c r="G18" i="20"/>
  <c r="F18" i="20"/>
  <c r="E18" i="20"/>
  <c r="H17" i="20"/>
  <c r="G17" i="20"/>
  <c r="F17" i="20"/>
  <c r="E17" i="20"/>
  <c r="I8" i="20"/>
  <c r="I31" i="20" l="1"/>
  <c r="J31" i="20"/>
  <c r="J30" i="20"/>
  <c r="I30" i="20"/>
  <c r="I20" i="20"/>
  <c r="J20" i="20" s="1"/>
  <c r="K20" i="20" s="1"/>
  <c r="I22" i="20"/>
  <c r="J22" i="20" s="1"/>
  <c r="I28" i="20"/>
  <c r="J28" i="20" s="1"/>
  <c r="I25" i="20"/>
  <c r="J25" i="20" s="1"/>
  <c r="I19" i="20"/>
  <c r="J19" i="20" s="1"/>
  <c r="I23" i="20"/>
  <c r="J23" i="20" s="1"/>
  <c r="I26" i="20"/>
  <c r="J26" i="20" s="1"/>
  <c r="I29" i="20"/>
  <c r="J29" i="20" s="1"/>
  <c r="I27" i="20"/>
  <c r="J27" i="20" s="1"/>
  <c r="I24" i="20"/>
  <c r="J24" i="20" s="1"/>
  <c r="I21" i="20"/>
  <c r="J21" i="20" s="1"/>
  <c r="I18" i="20"/>
  <c r="J18" i="20" s="1"/>
  <c r="I17" i="20"/>
  <c r="J17" i="20" s="1"/>
  <c r="K31" i="20" l="1"/>
  <c r="K30" i="20"/>
  <c r="K19" i="20"/>
  <c r="K25" i="20"/>
  <c r="K28" i="20"/>
  <c r="K22" i="20"/>
  <c r="K21" i="20"/>
  <c r="K29" i="20"/>
  <c r="K26" i="20"/>
  <c r="K24" i="20"/>
  <c r="K27" i="20"/>
  <c r="K23" i="20"/>
  <c r="K17" i="20"/>
  <c r="K18" i="20"/>
</calcChain>
</file>

<file path=xl/sharedStrings.xml><?xml version="1.0" encoding="utf-8"?>
<sst xmlns="http://schemas.openxmlformats.org/spreadsheetml/2006/main" count="893" uniqueCount="413">
  <si>
    <t>Control Ref</t>
  </si>
  <si>
    <t>Domain</t>
  </si>
  <si>
    <t>Keywords</t>
  </si>
  <si>
    <t>Sub-domain</t>
  </si>
  <si>
    <t>Control Description</t>
  </si>
  <si>
    <t>Applicability for D&amp;PIA</t>
  </si>
  <si>
    <t>Control Level</t>
  </si>
  <si>
    <t>Control Type</t>
  </si>
  <si>
    <t xml:space="preserve"> Regulatory reference</t>
  </si>
  <si>
    <t>Observation</t>
  </si>
  <si>
    <t>Compliance Status</t>
  </si>
  <si>
    <t>Recommendations</t>
  </si>
  <si>
    <t>Remarks</t>
  </si>
  <si>
    <t>Keywords2</t>
  </si>
  <si>
    <t>GOM_1</t>
  </si>
  <si>
    <t>Governance and Operating Model</t>
  </si>
  <si>
    <t>Data Protection Officer</t>
  </si>
  <si>
    <t>The organization should appoint at least one Data Protection Officer for overseeing the data protection strategy based on criteria which may be notified at a later point in time.</t>
  </si>
  <si>
    <t>Not Applicable for D&amp;PIA</t>
  </si>
  <si>
    <t>Organization</t>
  </si>
  <si>
    <t>Regulatory Control</t>
  </si>
  <si>
    <t xml:space="preserve">PDPC 2020 Public Consultation </t>
  </si>
  <si>
    <t>Not Applicable</t>
  </si>
  <si>
    <t>GOM_2</t>
  </si>
  <si>
    <t xml:space="preserve">Roles and Responsibilities of the DPO </t>
  </si>
  <si>
    <t xml:space="preserve">The DPO/ Privacy Officer appointed for ensuring privacy compliance have the following responsibilities: 
a) identify applicable privacy regulations across jurisdictions and the necessary steps towards compliance
b) manage any issues that arise due to conflicting obligations
c) prepare policies and procedures with reference to data privacy
d) conduct periodic assessments on the organization's privacy environment against the applicable privacy regulations
e) conduct trainings on privacy to all the directors and employees
f) assist the Internal team with respect to facility
g) address all the privacy related concerns raised by data subjects
Further, the DPO should be easily accessible as a point of contact for employees, data subjects and Data Protection Authority. Furthermore, the organization should publish the contact details of the DPO on their privacy notice. </t>
  </si>
  <si>
    <t>Leading Practice</t>
  </si>
  <si>
    <t>NA</t>
  </si>
  <si>
    <t>GOM_3</t>
  </si>
  <si>
    <t xml:space="preserve">Roles and Responsibility </t>
  </si>
  <si>
    <t>The organization should define, document, approve and socialize an organizational structure with different levels of data governance (e.g., executive, judicial, legislative, administrative, etc.), and roles, responsibilities and accountability at various levels should be specified. (e.g., governance committee members, technology leaders, data stewards, etc.)</t>
  </si>
  <si>
    <t>LR_1</t>
  </si>
  <si>
    <t>Legal and Regulatory</t>
  </si>
  <si>
    <t>Lawful Bases, Processing Personal Data</t>
  </si>
  <si>
    <t>Lawful Bases for Processing Personal Data</t>
  </si>
  <si>
    <t>The organization should assess the applicable lawful basis for each of the processing activity involving personal data, and should take appropriate measures towards the same. Some of the widely used lawful bases are:
a) organization should obtain the consent of the data subject for processing of personal data for the specified purpose
b) processing is necessary:
- for the performance of the contract to which the data subject is a party
- for taking steps to enter into a contract with the data subject
- for compliance with a legal obligation to which the organization is a subject, other than an obligation imposed by contract
- for protecting the vital interests of the data subjects
- for the administration of justice
- for the exercise of any functions conferred on any person by or under any law</t>
  </si>
  <si>
    <t>D&amp;PIA</t>
  </si>
  <si>
    <t>PDPA Section 6(1,2)</t>
  </si>
  <si>
    <t>LR_2</t>
  </si>
  <si>
    <t>Lawful Bases, Processing Sensitive Personal Data, Sensitive Data</t>
  </si>
  <si>
    <t>Lawful Bases for Processing Sensitive Personal Data</t>
  </si>
  <si>
    <t>The organization should assess the applicable lawful basis for each of the processing activity involving sensitive personal data, and should take appropriate measures towards the same. Some of the widely used lawful bases are: 
a) the data subject has given his/ her explicit consent for processing of any of the sensitive personal data
b) the processing is necessary:
- for performing activities in connection with employment
- to protect the vital interests of the data subject or another person
- for exercising defense or legal claims
- for medical purposes
- for any legal proceedings
- for obtaining legal advice
- for establishing, exercising or defending the organization’s legal rights
- for the administration of justice
- for the exercise of any functions conferred on any person by or under any written law
- for any other purposes as the Minister thinks fit</t>
  </si>
  <si>
    <t>PDPA Section 40(1)</t>
  </si>
  <si>
    <t>LR_3</t>
  </si>
  <si>
    <t>Cross Border Data Transfer</t>
  </si>
  <si>
    <t>The organization should define, document, approve and socialize procedures to ensure that personal data of data subjects are transferred outside Malaysia only if one of the following applies: 
a) the transfer is necessary as being in the pubic interest in circumstances as determined by the Minister by notification and published in the Gazette
b) organization has taken reasonable precautions to ensure the personal data will not be processed in any manner which contravenes the PDPA
c) organization has obtained the consent of the data subject for the transfer
d) transfer is necessary for the performance of a contract between the organization and the data subject
e) transfer is necessary to perform or conclude a contract between the organization and third party which has been entered into at the request, or in the interest, of the data subject
f) transfer is for legal proceedings or obtaining legal advice or for establishing, exercising or defending legal rights
g) organization has reasonable grounds for believing that in all circumstances of the case the transfer is for the avoidance or mitigation of adverse action against the data subject, it is not practicable to obtain the consent in writing of the data subject to that transfer, and if it was practicable to obtain such consent, the data subject would have given his consent
h) the transfer is necessary to protect the vital interests of the data subject
PDPC Amendment:
The organization should identify and update the list of countries which may be potentially restricted by the Commissioner and follow any guidelines notified by the Commissioner for such transfers.</t>
  </si>
  <si>
    <t xml:space="preserve">PDPA Section 129(1-4)
PDPC 2020 Public Consultation </t>
  </si>
  <si>
    <t>LR_4</t>
  </si>
  <si>
    <t>Cookie Policy</t>
  </si>
  <si>
    <t>The organization should define, document, approve and socialize a cookie policy to communicate the use of cookies and the mechanism to obtain the website visitor's consent (through a cookie consent banner) prior to storing cookies on their browsers.
Further, the website application should have the functionality to support the process.</t>
  </si>
  <si>
    <t>LR_5</t>
  </si>
  <si>
    <t>Obtaining consent, consent</t>
  </si>
  <si>
    <t>Explicit Consent</t>
  </si>
  <si>
    <t>The organization should identify and document the processing activities where consent has been obtained from data subjects for consent as the lawful basis for processing. 
Further, the application should have the functionality to obtain explicit consent in a informed, independent and specific manner from the users.</t>
  </si>
  <si>
    <t>Both</t>
  </si>
  <si>
    <t>LR_6</t>
  </si>
  <si>
    <t>Track consent, consent</t>
  </si>
  <si>
    <t>Tracking Consent/ Use of Consent Manager</t>
  </si>
  <si>
    <t>The organization should define, document, approve and socialize procedures to obtain, record and track the preferences and changes to the consent preferences around uses and disclosures of personal and sensitive data and should be tracked in the customer databases or other relevant systems. 
Further, the application should have the functionality to support the process.</t>
  </si>
  <si>
    <t>LR_7</t>
  </si>
  <si>
    <t>Withdraw consent, remove consent</t>
  </si>
  <si>
    <t>Withdrawal of Consent</t>
  </si>
  <si>
    <t>The organization should define, document, approve and socialize processes and procedures in place to adequately respond to data subjects' request to withdraw their consent provided for processing personal data and should cease the processing of personal data in a timely manner.
Further, the application should have the functionality to support the process.</t>
  </si>
  <si>
    <t>PDPA Section 38(1-2)</t>
  </si>
  <si>
    <t>LR_8</t>
  </si>
  <si>
    <t>minors, below 18, consent for minors</t>
  </si>
  <si>
    <t>Consent for Processing Personal Data of Minors</t>
  </si>
  <si>
    <t>The organization should define, document, approve and socialize procedures to obtain consent from the parent or guardian of a data subject who is below the age of eighteen years, prior to processing their personal data. 
Further, the application should have the functionality to support the process.</t>
  </si>
  <si>
    <t xml:space="preserve">PDPA Section 4
</t>
  </si>
  <si>
    <t>PPG_1</t>
  </si>
  <si>
    <t>Policies, Processes and Guidelines</t>
  </si>
  <si>
    <t>Privacy policy, privacy procedure</t>
  </si>
  <si>
    <t>Privacy Documentation</t>
  </si>
  <si>
    <t xml:space="preserve">The organization should define, document, approve and socialize an internal data privacy policy and also privacy procedure documents which provides guidance for processing and protecting personal data (including sensitive personal data) as per applicable laws, sectoral guidelines and leading practices. Further, the policy and procedures are reviewed and updated by the privacy team/ office on a periodic basis and are made readily accessible, to be produced to the Commissioner's office if instructed to do so. </t>
  </si>
  <si>
    <t>PDPA Section 101;
PDPA Section 7(2(c(i)))</t>
  </si>
  <si>
    <t>PPG_2</t>
  </si>
  <si>
    <t>Privacy notice</t>
  </si>
  <si>
    <t>Privacy Notice Characteristics</t>
  </si>
  <si>
    <t>The organization's privacy notice is conspicuous and uses clear language. It is written in plain and simple language, appropriately labelled, easy to see, and not in unusually small print, linked to or displayed on the website/ application at points of data collection, available in the national languages used on the site or in languages required by law, concise, etc.
The organization's privacy notice should:
a) be presented at all personal data collection mediums
b) use clear, plain and simple language
c) clearly labelled, easy to see and not in unusually small print
d) appropriately linked to or displayed on the website at points of data language
e) available in the national and English languages
f) consist a link to the privacy notice (for the areas where it is presented offline)
g) available in a format which is easy for the data subject to print it out as a document
h) the data subject should be provided with a clear and readily accessible means to exercise his choice (in relation to the processing of his personal data), where necessary, in the national and English languages
Further, the organization should:
a) provide the data subjects with an updated privacy notice prior to using their personal data for a purpose other than the purpose for which the personal data was collected
b) provide the data subject with an updated privacy notice prior to disclosing their personal data to a category of third party entity which was not listed in the initial notice shared</t>
  </si>
  <si>
    <t>PDPA Section 7(3)
PDPA Section 7(2(c(ii)))</t>
  </si>
  <si>
    <t>PPG_3</t>
  </si>
  <si>
    <t xml:space="preserve">Privacy Notice </t>
  </si>
  <si>
    <t>Notice to Data Subjects</t>
  </si>
  <si>
    <t>The organization should define, document, approve and socialize a process in place to provide the data subjects with a privacy notice at the time of requesting their personal data or at the time of collecting or prior to using (in case of indirect collection) their personal data in the website/ application. The privacy notice should cover the following:
a) that personal data of the data subject is being processed by or on behalf of the organization
b) type and description of personal data collected
c) purpose of collecting and processing their personal data
d) source of personal data (in case of indirect collection)
e) data subject’s right to request access to and to request correction of the personal data
f) contact details of the team/ individual within the organization to be contacted in case of complaints/ queries with respect to personal data processing
g) class of third parties to whom personal data maybe disclosed
h) cross border transfer of personal data
i) disclosures of personal data to third parties
j) choices and means the organization offers the data subject for limiting the processing of personal data, including personal data relating to other persons who may be identified from that personal data
k) whether it is obligatory or voluntary for the data subject to provide the requested personal data 
l) consequences of not providing the data in case such provision is obligatory If it is obligatory for the data subjects to provide their personal data
m) period for which the data would be stored
Further, the organization and the application maintains evidence of communication of the privacy notice to the data subjects.</t>
  </si>
  <si>
    <t>PDPA Section 7
PDPA Section 44</t>
  </si>
  <si>
    <t>PPG_4</t>
  </si>
  <si>
    <t>Disclosure of personal data</t>
  </si>
  <si>
    <t>Disclosure of Personal Data</t>
  </si>
  <si>
    <t>The organization should ensure that no personal data of a data subject should, without the consent of the data subject, be disclosed:
a) for any purpose other than the purpose for which the personal data was to be disclosed at the time of collection of the personal data; or a purpose directly related to that purpose
b) to any party other than a third party of the class of third parties as specified in the organization's privacy notice
However, personal data of a data subject may be disclosed by an organization for any purpose other than the purpose for which the personal data was to be disclosed at the time of its collection or any other purpose directly related to that purpose, only under the following circumstances:
a) the data subject has given consent to the disclosure
b) the disclosure is necessary for the purpose of preventing or detecting a crime, or for the purpose of investigation; or was required or authorized by or under any law or by the order of a court
c) the organization acted in the reasonable belief that it had in law the right to disclose the personal data to the other person
d) the organization acted in the reasonable belief that it would have had the consent of the data subject if the data subject had known of the disclosing of the personal data and the circumstances of such disclosure or
e) the disclosure was justified as being in the public interest in circumstances as determined by the Minister
Further, the organization should:
a) identify requirements for confidentiality or Non-Disclosure Agreements (NDA) reflecting the organization's needs for the protection of personal data and regularly reviewed and documented
b) ensure confidentiality of the personal data that is being handled by the organization, all employees with access to such data, are to sign a confidentiality agreement</t>
  </si>
  <si>
    <t>PDPA Section 8, 39
PDPS Security Standard 4(13)</t>
  </si>
  <si>
    <t>PPG_5</t>
  </si>
  <si>
    <t xml:space="preserve">Aritificial Intelligence, Machine Learning </t>
  </si>
  <si>
    <t>Artificial Intelligence and Machine Learning</t>
  </si>
  <si>
    <t>The organization should establish an enterprise level governance framework for the use of Artificial Intelligence / Machine Learning solutions.</t>
  </si>
  <si>
    <t>GTRM 
Appendix 3
Guideline 1</t>
  </si>
  <si>
    <t>PPG_6</t>
  </si>
  <si>
    <t>Data Loss Prevention Policy</t>
  </si>
  <si>
    <t>The organization should define, document approve and socialize a Data Loss Prevention (DLP) strategy to prevent accidental exposure of their data outside their environment. 
Further, the application should have the functionality to support the process.</t>
  </si>
  <si>
    <t>GTRM 
Guideline 7.24</t>
  </si>
  <si>
    <t>DC_1</t>
  </si>
  <si>
    <t>Data Classification</t>
  </si>
  <si>
    <t>Critical Data Elements</t>
  </si>
  <si>
    <t>The organization should maintain a list of Critical Data Elements (CDEs) and mapped it to specific systems use-cases.
Further, the application owner should maintain a record of data inventory for their respective applications.</t>
  </si>
  <si>
    <t>DC_2</t>
  </si>
  <si>
    <t>The organization should define, document, approve and socialize a data classification policy addressing the following:
a) The specific categories of personal data
b) The security measures associated with each of the said categories of personal data, both in physical and electronic formats
Further, the application should identify and implement security measures to support the process.</t>
  </si>
  <si>
    <t>PDPA Section 9
GTRM 
Guideline 7.22(a)</t>
  </si>
  <si>
    <t>ILM_1</t>
  </si>
  <si>
    <t>Information Lifecycle Management</t>
  </si>
  <si>
    <t>Data Management Lifecycle</t>
  </si>
  <si>
    <t>The organization should define, document, approve and socialize policies and procedures regarding aspects of data management lifecycle, including collection, maintenance, usage and dissemination.</t>
  </si>
  <si>
    <t>ILM_2</t>
  </si>
  <si>
    <t>Information Security Policy</t>
  </si>
  <si>
    <t>The organization should define, document, approve and socialize an information security policy which includes a written statement that communicates the organization's intent, goals, requirements, responsibilities and standards/ frameworks for protecting information when considering personal data and data privacy and should be periodically reviewed.</t>
  </si>
  <si>
    <t>ILM_3</t>
  </si>
  <si>
    <t>Collection Limitation</t>
  </si>
  <si>
    <t>The organization should define, document, approve and socialize policies and procedures to limit the collection of personal data to what is lawful, relevant, adequate and not excessive with respect to the purpose of collection/ processing. 
Further, the application should have the functionality to support the process.</t>
  </si>
  <si>
    <t>PDPA Section 6(3)</t>
  </si>
  <si>
    <t>ILM_4</t>
  </si>
  <si>
    <t>Purpose Limitation</t>
  </si>
  <si>
    <t>The organization should define, document, approve and socialize polices and procedures to limit the processing of personal data to only the purposes stated in the privacy notice. 
Further, the application should have the functionality to support the process.</t>
  </si>
  <si>
    <t>PDPA Section 6(2)</t>
  </si>
  <si>
    <t>ILM_5</t>
  </si>
  <si>
    <t>Storage Limitation</t>
  </si>
  <si>
    <t>The organization should define, document, approve and socialize policies and procedures to retain personal data attributes only for the purposes and must be kept for no longer than is necessary for the purpose for which it is processed. Further, organization must periodically review and take all reasonable steps to ensure that all personal data is destroyed or permanently deleted if it is no longer required for the purpose for which it was to be processed. 
Furthermore, the application should have the functionality to support the process.</t>
  </si>
  <si>
    <t>PDPA Section 10
PDPS Part II, Retention Standard 6</t>
  </si>
  <si>
    <t>MON_1</t>
  </si>
  <si>
    <t>Monitoring</t>
  </si>
  <si>
    <t>Internal Audit Framework</t>
  </si>
  <si>
    <t>The organization should define, document, approve and socialize an internal audit framework which covers the following: 
a) guidelines to privacy office and functions to assist the internal audit team in carrying out privacy audits and compliance programs
b) list of controls to be assessed as part of the internal audit process
c) frequency of internal audits
d) mechanisms to report the status of internal audits to the board</t>
  </si>
  <si>
    <t>MON_2</t>
  </si>
  <si>
    <t>External Audit</t>
  </si>
  <si>
    <t>The organization should define, document, approve and socialize procedures on periodic external audits which should be performed by a third party to ensure compliance with the privacy regulations and the external audits can among other things consist of attestations, certifications or assessments.</t>
  </si>
  <si>
    <t>MON_3</t>
  </si>
  <si>
    <t>Implementation Program</t>
  </si>
  <si>
    <t xml:space="preserve">The organization should in conjunction with the business heads design an implementation roadmap with detailed implementation steps, timelines, responsible personnel/ team for remediating the gaps identified during internal privacy audits and risk assessments and should perform review of the status of privacy compliance implementation program on a periodic basis. </t>
  </si>
  <si>
    <t>GTRM
Guideline 7.22(h)</t>
  </si>
  <si>
    <t>MON_4</t>
  </si>
  <si>
    <t>Internal Privacy/ Security Audits</t>
  </si>
  <si>
    <t xml:space="preserve">The organization should designate a team to conduct annual internal privacy/ security audits on the following:
a) data privacy and security environment
b) data and information asset processes and controls 
Further, the results of the audits should be socialized with the relevant stakeholders. </t>
  </si>
  <si>
    <t>PDPA Section 9
GTRM Guideline 7.22 (g)</t>
  </si>
  <si>
    <t>RC_1</t>
  </si>
  <si>
    <t>Risk and Control</t>
  </si>
  <si>
    <t>Privacy By Design Framework</t>
  </si>
  <si>
    <t>The organization should ensure that a Privacy by Design (PbD) framework is available for the development of all systems and products. Further, the PbD framework will be integrated within the required processes (such as change and project management) and will provide insight in how to incorporate privacy practices and guidelines into operations.
Furthermore, the application should be designed by incorporating the PbD framework.</t>
  </si>
  <si>
    <t>RC_2</t>
  </si>
  <si>
    <t>Data Privacy Impact Assessment</t>
  </si>
  <si>
    <t>The organization should perform a Data Privacy Impact Assessment (DPIA) for every new process, program, technology, system, etc. which has an impact on personal data, with a potential risk on the rights and freedoms of individuals. The DPIA will minimally include a description of:
a) details of the processing activity
b) the assessment of the risks to the rights and freedoms of the data subject
c) the envisioned mitigating controls/ measures</t>
  </si>
  <si>
    <t>DS_1</t>
  </si>
  <si>
    <t>Data Security</t>
  </si>
  <si>
    <t>Integrity</t>
  </si>
  <si>
    <t>The organization should define and document mechanisms to prevent unauthorized changes to the data. 
Further, the application should have the functionality to support the process.</t>
  </si>
  <si>
    <t>PDPA Section 11</t>
  </si>
  <si>
    <t>DS_2</t>
  </si>
  <si>
    <t>Access Control Policy</t>
  </si>
  <si>
    <t>The organization should define, document, approve, socialize an access control policy to implement on all the applications and databases hosting personal data. This policy covers the following:
a) an authorization matrix defining roles, access, modification and deletion rights in relation to different categories of personal data
b) restrictions and limitations on access to technologies that allow personal data to be transferred out of the organization
c) the activation of the audit logs which enable authorized and unauthorized access to personal data to be traced and to review the audit logs on access to critical data to identify anomalies or abnormal activities</t>
  </si>
  <si>
    <t>PDPA Section 9
PDPS Part II, Security Standard 4(2-5)
GTRM 
Guideline 7.2(c), 7.22(e), 9.07(b)</t>
  </si>
  <si>
    <t>DS_3</t>
  </si>
  <si>
    <t>Change Management</t>
  </si>
  <si>
    <t xml:space="preserve">The organization should define, document, approve and socialize procedures for any proposed changes that may change how the application processes personal data should be subject to approvals from privacy team prior starting with development related activities. </t>
  </si>
  <si>
    <t>DS_4</t>
  </si>
  <si>
    <t>Retention</t>
  </si>
  <si>
    <t>The organization should define, document, approve and socialize processes to ensure that personal data are retained in accordance with the defined retention timelines and are disposed post expiry of retention timelines for various categories of personal data. Further, the organization should obtain requisite internal approvals and documents the reasonable need (with supporting artefacts) for retaining the personal data beyond the retention timeline defined in the schedule. 
Furthermore, the application owner should maintain a retention schedule for the personal data processed by them in the application.</t>
  </si>
  <si>
    <t xml:space="preserve">PDPA Section 10
PDPS Part II, Retention Standard 6(2), 6(6), 6(7) </t>
  </si>
  <si>
    <t>DS_5</t>
  </si>
  <si>
    <t>Backups</t>
  </si>
  <si>
    <t>The organization should define, document, approve and socialize a backup policy covering periodicity of critical data backups.
Further, the application should have the functionality to support backups and restore the backup .</t>
  </si>
  <si>
    <t>DS_6</t>
  </si>
  <si>
    <t>Disposal/ Deletion</t>
  </si>
  <si>
    <t>The organization should define, document, maintain, approve and update a proper record of disposal of personal data in line with the retention and disposal policy and data disposal schedule for inactive data with a 24 month period. Further, these records must be made readily available for submission when requested by the Commissioner.
Furthermore, the application should have the functionality to support the process.</t>
  </si>
  <si>
    <t>PDPA Section 10
PDPS Part II, Retention Standard 6(3-6)</t>
  </si>
  <si>
    <t>DS_7</t>
  </si>
  <si>
    <t>Analytics</t>
  </si>
  <si>
    <t>The organization should implement a mechanism to ensure that any insights generated from the personal data stored in the application using third party analytics engine should be at an aggregated level. 
Further, the application should have the functionality to support the process.</t>
  </si>
  <si>
    <t>DS_8</t>
  </si>
  <si>
    <t>Review of Security Standards</t>
  </si>
  <si>
    <t>The organization should define, document, approve and socialize procedures to perform audits and conduct tests of the effectiveness of the key administrative, technical, and physical safeguards protecting personal information are conducted at least annually.</t>
  </si>
  <si>
    <t>DS_9</t>
  </si>
  <si>
    <t>Anonymization/ De-identification</t>
  </si>
  <si>
    <t>The organization should implement measures to ensure that data attributes are anonymized, de-identified wherever possible. 
Further, the application should have the functionality to support the process.</t>
  </si>
  <si>
    <t>DS_10</t>
  </si>
  <si>
    <t>Encryption</t>
  </si>
  <si>
    <t>The organization should define, document, approve and socialize procedures to implement measures on data attributes to be encrypted with latest encryption to secure data in-use, data in-motion and data at-rest. 
Further, the application should have the functionality to support the process.</t>
  </si>
  <si>
    <t xml:space="preserve">PDPA Section 115, 
GTRM 
Guideline 7.24(a), 7.24(b), 7.24(c)
</t>
  </si>
  <si>
    <t>DS_11</t>
  </si>
  <si>
    <t>Technical and Organizational Measures</t>
  </si>
  <si>
    <t>The organization should implement technical and organizational measures to: 
a) ensure that the personal data processed by the organization is accurate, complete, not misleading and kept up-to-date by having regard to the purpose, including any directly related purpose, for which the personal data was collected and further processed
b) maintain the confidentiality, integrity and availability of data; and
c) safeguard IT systems residing in the production environment, non-production environment and all other media</t>
  </si>
  <si>
    <t>PDPA Section 11
PDPS Part II, Integrity Standard 7
GTRM 
Guideline 7.22(b), 7.23</t>
  </si>
  <si>
    <t>DS_12</t>
  </si>
  <si>
    <t>Clear Desk Policy</t>
  </si>
  <si>
    <t>The organization should define, document, approve and socialize a clear desk policy to ensure the information assets are not left unprotected in a manner which ensures that minimum information is used and prevents security breaches from occurring.</t>
  </si>
  <si>
    <t>GTRM 
Guideline 7.22(d)</t>
  </si>
  <si>
    <t>DS_13</t>
  </si>
  <si>
    <t>Role Based Access</t>
  </si>
  <si>
    <t>The organization should define, document, approve and socialize policies to ensure that access to data should be restricted, and roles and responsibilities should be defined in order to protect privacy and confidentiality of data. Further, the organization should periodically review the access rights and privileges.
Furthermore, the application should have the functionality to support the process.</t>
  </si>
  <si>
    <t>GTRM 
Guideline 7.22(c)</t>
  </si>
  <si>
    <t>CSF_1</t>
  </si>
  <si>
    <t>Cyber Security Framework</t>
  </si>
  <si>
    <t>The organization should define, document, approve and socialize a cyber security framework comprising of the governance and implementation of adequate cyber security controls which is equivalent with its risk appetite and business profile.</t>
  </si>
  <si>
    <t>GTRM 
Guideline 9.01 .9.02, 9.03</t>
  </si>
  <si>
    <t>CSF_2</t>
  </si>
  <si>
    <t>Cyber Assessments</t>
  </si>
  <si>
    <t>The organization should define, document, approve and socialize a process to conduct regular assessment, and to identify potential vulnerabilities and cyber threats in its operating environment which could undermine the security, confidentiality, availability and integrity of the information assets, systems and networks which would outline the relevant control measures to mitigate any vulnerabilities and cyber threats in its operating environment.
Further, the organization must, at a minimum:
a) ensure its assessment is comprehensive, which comprises of making an assessment of potential vulnerabilities relating to systems and technologies adopted including any third-party systems utilized by it and business processes
b) undertake a compromise assessment (CA) on its critical systems to prevent and detect any potential compromise of its security posture</t>
  </si>
  <si>
    <t>GTRM
Guideline 9.19, 9.21, 9.22</t>
  </si>
  <si>
    <t>CSF_3</t>
  </si>
  <si>
    <t>Vulnerability Assessment</t>
  </si>
  <si>
    <t>The organization should define, document, approve and socialize a comprehensive remedial process to track, monitor and resolve vulnerabilities identified from the cyber security assessments. Further, the remedial process must include at a minimum:
a) severity level and classification of identified vulnerabilities
b) turnaround time to remediate vulnerabilities according to its severity level
c) risk assessment and mitigation plans to manage exceptions (i.e. for vulnerabilities which the organization is unable to remediate timely) with approval from senior management
Further, the application should have the functionality to support the process.</t>
  </si>
  <si>
    <t>GTRM 
Guideline 9.25</t>
  </si>
  <si>
    <t>CSF_4</t>
  </si>
  <si>
    <t>Penetration Testing</t>
  </si>
  <si>
    <t>The organization should conduct regular penetration testing exercises both internal and external with the following requirements:
a) scope and frequency of the exercise must be equivalent to the organization's risk exposure and should at a minimum be conducted annually
b) should be performed by experienced and qualified professionals
b) Whenever the organization's critical system undergoes major changes or updates, penetration testing exercises should be conducted
d) Approval from senior management should be obtained before finalization of the test scope</t>
  </si>
  <si>
    <t>GTRM 
Guideline 9.23, 9.24</t>
  </si>
  <si>
    <t>CSF_5</t>
  </si>
  <si>
    <t>Cyber Simulation Exercise</t>
  </si>
  <si>
    <t>The organization should perform cyber simulation exercise to test the effectiveness of its cyber incident response and recovery with full involvement from the relevant stakeholders. Further, the exercise should be performed with the following requirements:
a) the exercise scope should be equivalent with the level of risk appetite of the organization and its reliance on technology including its communication plan based on current and emerging cyber threat scenarios
b) The organization should determine the objectives, scope and conditions of engagement for the cyber simulation exercise before the initiation of the exercise
c) identify scenarios of cyber risk that it is most likely to be exposed to
d) consider incidents in the capital market and the broader financial services industry
e) assess the likely impact of these incidents to the capital market entity
f) identify appropriate response plan and communication strategies that should be undertaken to ensure the organization is prepared to respond to cyber incidents detected
g) perform an adversarial attack simulation exercise on the infrastructure hosted with third-party service providers to identify potential vulnerabilities of its cyber defence and response plan against rampant cyber threats</t>
  </si>
  <si>
    <t>GTRM 
Guideline 9.26, 9.27, 9.28</t>
  </si>
  <si>
    <t>DD_1</t>
  </si>
  <si>
    <t>Defense-in-depth</t>
  </si>
  <si>
    <t>Antivirus and Malware</t>
  </si>
  <si>
    <t>The organization should ensure that anti-virus, and anti-malware solutions are deployed and updated on a regular basis to secure the devices and data from zero day vulnerabilities (e.g. servers, workstations, laptops, and mobile devices).</t>
  </si>
  <si>
    <t>GTRM 
Guideline 9.04(a), 9.04(c), 9.04(e)</t>
  </si>
  <si>
    <t>DD_2</t>
  </si>
  <si>
    <t>Firewall</t>
  </si>
  <si>
    <t>The organization should ensure that firewall solutions are deployed to reduce the unauthorized access to the network.</t>
  </si>
  <si>
    <t>GTRM 
Guideline 9.04(e)</t>
  </si>
  <si>
    <t>DD_3</t>
  </si>
  <si>
    <t>Multi-Factor Authentication</t>
  </si>
  <si>
    <t xml:space="preserve">The organization should configure applications to ensure that users are provided with an option to enable multi-factor authentication for logging into their respective user accounts/profiles. </t>
  </si>
  <si>
    <t>GTRM 
Guideline 9.04</t>
  </si>
  <si>
    <t>DD_4</t>
  </si>
  <si>
    <t>Content Filtering</t>
  </si>
  <si>
    <t>The organization should ensure that web and email filtering systems/ solutions are deployed for external websites, social media platforms, personal emails and cloud storage websites.</t>
  </si>
  <si>
    <t>GTRM 
Guideline 9.04(d)</t>
  </si>
  <si>
    <t>DD_5</t>
  </si>
  <si>
    <t>Hardening</t>
  </si>
  <si>
    <t xml:space="preserve">The organization should define, document, approve, implement and continuously review the security hardening standard for its operating systems, databases, virtual machines, application system, network and security devices. </t>
  </si>
  <si>
    <t>GTRM 
Guideline 9.05(a)</t>
  </si>
  <si>
    <t>DD_6</t>
  </si>
  <si>
    <t>Security Operation Centre</t>
  </si>
  <si>
    <t>The organization should establish the Security Operation Centre (SOC) for real time surveillance and monitoring of the cyber events, detect any anomalous activity and Security Information and Event Management (SIEM) solutions should be implemented with proper access controls, skilled resources, and accommodated with disaster recovery capabilities and dashboard to oversee the overall network perimeter. Further, the organization should:
a) establish a clearly defined escalation and decision-making processes to ensure any adverse effect of a cyber incident is properly managed
b) apply advanced user behavioral analysis to detect sophisticated cyber events such as signature-less and file-less malware, if reasonably practicable
c) conduct analysis on any detected event that may have material impact on its business or systems</t>
  </si>
  <si>
    <t>GTRM 
Guideline 9.07(a), 9.07(c), 9.08, 9.09, 9.12</t>
  </si>
  <si>
    <t>DD_7</t>
  </si>
  <si>
    <t>System Logs</t>
  </si>
  <si>
    <t>The organization should collect, review and retain system logs to identify and monitor cyber events to protect system logs against unauthorized access. Further, the organization should perform correlation of multiple events registered on system logs to identify anomalous system activity or suspicious user behavior patterns according to the baseline indicator.</t>
  </si>
  <si>
    <t>GTRM 
Guideline 9.07(b), 9.11</t>
  </si>
  <si>
    <t>DD_8</t>
  </si>
  <si>
    <t>Phishing</t>
  </si>
  <si>
    <t>The organization should, where feasible, use its best endeavors to conduct regular monitoring of fake websites to minimize adverse effect on its customers, employees and agents from phishing or other types of social engineering attacks.</t>
  </si>
  <si>
    <t>GTRM 
Guideline 9.10</t>
  </si>
  <si>
    <t>DD_9</t>
  </si>
  <si>
    <t>Cyber Threat Analysis Report</t>
  </si>
  <si>
    <t>The organization should regularly review its cyber threat analysis report that is equivalent with its business model, risk appetite and technology dependency, and communicate the report to its senior management. Further, the report must cover the cyber threat trends and statistics, incidents grouping by type of attack, target and source of IP addresses.</t>
  </si>
  <si>
    <t xml:space="preserve">GTRM 
Guideline 9.13
</t>
  </si>
  <si>
    <t>DD_10</t>
  </si>
  <si>
    <t>Cyber Threat Awareness</t>
  </si>
  <si>
    <t>The organization should equip itself with the knowledge and understanding of the current and evolving cyber threats, new cyber attack techniques, analyse and determine the appropriate countermeasures.</t>
  </si>
  <si>
    <t xml:space="preserve">GTRM
Guideline 9.14
</t>
  </si>
  <si>
    <t>RM_1</t>
  </si>
  <si>
    <t>Records Management</t>
  </si>
  <si>
    <t>Data Inventory, Review and Update</t>
  </si>
  <si>
    <t>The organization should maintain a record of all activities which involve processing of personal data and the inventory is reviewed and updated on a periodic basis, or as and when there are changes to the underlying processing activities. The following are an indicative list of attributes captured as part of the data inventory: 
a) name and contact information of the organization
b) purposes of the processing 
c) description of categories of data subjects
d) categories of personal data
e) list of employees having access to personal data
f) list of categories of third parties to which personal data is disclosed
g) categories of recipients to whom personal data have been or will be disclosed
h) transfers of personal data outside Malaysia
i) the envisaged time limits for erasure of the different categories of data
j) a general description of the technical and organizational security measures
Further, the application owners should maintain a record of personal data inventory for their respective applications.
Furthermore, the application should have the functionality to support the process.</t>
  </si>
  <si>
    <t>PDPA Section 44
GTRM 
Guideline 7.22(a)</t>
  </si>
  <si>
    <t>RM_2</t>
  </si>
  <si>
    <t>Records of Transfer</t>
  </si>
  <si>
    <t xml:space="preserve">The organization should record transfer of personal data through conventional methods (mail, fax), removable and cloud computing device to prevent any misuse of personal data through unauthorized transfer. Further, these records are updated on a periodic basis. </t>
  </si>
  <si>
    <t>PDPA Section 44</t>
  </si>
  <si>
    <t>TPO_1</t>
  </si>
  <si>
    <t>Third Party Oversight</t>
  </si>
  <si>
    <t>Data Processing Agreement</t>
  </si>
  <si>
    <t>The organization should enter into a data processing agreement with all its vendors which are processing personal data on their behalf. The following should be covered (at a minimum) as part of the data processing agreements:
a) the processor must only act on the documented instructions provided by the organization
b) the processor must ensure that people processing the data are subject to a duty of confidence
c) the processor must take appropriate measures to ensure the security of processing
d) the processor must only engage a sub-processor with the organization’s prior authorization and under a written contract
e) the processor must take appropriate measures to help the organization respond to requests from individuals to exercise their rights
f) the processor must delete or return all personal data to the organization (at the organization’s choice) at the end of the contract, and the processor must also delete existing personal data unless the law requires its storage
g) the processor must allow the organization to audit their environment or submit audit/ inspection reports on their privacy environment</t>
  </si>
  <si>
    <t>PDPA Section 9(2);
PDPS Part II Security Standard 4(14)</t>
  </si>
  <si>
    <t>TPO_2</t>
  </si>
  <si>
    <t>Periodic Vendor Assessments</t>
  </si>
  <si>
    <t>The organization should define, document, approve and implement procedures to evaluate privacy and security posture prior to onboarding third parties and a mechanism for conducting periodic reviews. Further, periodic privacy assessment should cover the vendor's information processing facilities, its processing activities to ensure the vendor's compliance with contractual obligations and applicable regulations.</t>
  </si>
  <si>
    <t>GTRM
Guideline 7.22(f)</t>
  </si>
  <si>
    <t>TPO_3</t>
  </si>
  <si>
    <t>Third Party Integration</t>
  </si>
  <si>
    <t>The organization should define, document, approve and socialize procedures and implement measures to ensure that integration with third party service providers (including APIs) such as payment gateways, analytics engine, marketing engine, etc. should be carried out in such a manner that only minimal requisite personal data attributes are exposed to these third parties using appropriate safeguards. 
Further, the application should have the functionality to support the process.</t>
  </si>
  <si>
    <t>TPO_4</t>
  </si>
  <si>
    <t>Third Party Contracts</t>
  </si>
  <si>
    <t xml:space="preserve">The organization should ensure that the contracts with third parties contain the clauses that ensure records management requirements are met. </t>
  </si>
  <si>
    <t>DSR_1</t>
  </si>
  <si>
    <t>Data Subject Rights</t>
  </si>
  <si>
    <t>Documentation</t>
  </si>
  <si>
    <t>The organization should define, document, approve and socialize:
a) a manual/ procedure document on responding to data subject rights requests
b) procedures to validate the identity of the data subject by obtaining valid identity proofs
c) timelines (21 Days) for responding to data subject rights requests</t>
  </si>
  <si>
    <t>DSR_2</t>
  </si>
  <si>
    <t>Right to Access</t>
  </si>
  <si>
    <t>The organization should define, document, approve and socialize procedures to implement controls for providing the data subjects with their data in a machine readable format within the agreed upon timelines and should have adequate processes to ensure that the request is attended within the extended timeline, if any. 
Further, the application should have the functionality to support the process.</t>
  </si>
  <si>
    <t xml:space="preserve">PDPA Section 31(1) </t>
  </si>
  <si>
    <t>DSR_3</t>
  </si>
  <si>
    <t>Records of Data Access Requests (DSR)</t>
  </si>
  <si>
    <t>The organization maintains a record of all data access requests that they have received and should record the following:
a) a copy of the data access request
b) a record of the verification of the identity of the data subject
c) copies of all correspondences relevant to the data access request
d) a record of any decision made in relation to the data access request
e) a copy of the personal data that was sent to the entity in question</t>
  </si>
  <si>
    <t>DSR_4</t>
  </si>
  <si>
    <t>Refusal of Data Subject Access request</t>
  </si>
  <si>
    <t xml:space="preserve">The organization should identify, define, document, approve and socialize the scenarios under which they can refuse to act upon a data access request. Following are some of the grounds for refusal of data access request:
a) organization has not been supplied with sufficient information as reasonably required (e.g. the name, identification card number, address, and such other related information as the Commissioner may determine) in order to establish the identity of the data subject/ authorized requestor, or establish the authorized requestor’s connection to the data subject
b) organization has not been supplied with sufficient information as it may reasonably require to locate the personal data to which the data access request relates
c) burden or expense of providing access is disproportionate to the risks to the data subject’s privacy in relation to the personal data in the case in question
d) organization is unable to comply with the data access request without disclosing a third party’s personal data (unless the other person has consented to the disclosure of the personal data to the data subject/ authorized requestor), wherein the organization will have to balance the data subject’s rights of access to personal data against the third party’s privacy rights in relation to their personal data
e) providing access would constitute a violation of a court order
f) providing access would disclose the confidential commercial information of the organization
g) access to personal data is regulated by another law
Further, the organization should define, document, approve and socialize procedures to ensure that the organization notifies the data subject or the authorized requestor in writing on the refusal within 21 days of receiving the request to comply with a data subject requests to exercise their rights along with a reason for the same. </t>
  </si>
  <si>
    <t>PDPA Section 32</t>
  </si>
  <si>
    <t>DSR_5</t>
  </si>
  <si>
    <t>Right to Correct</t>
  </si>
  <si>
    <t>The organization should define, document, approve and socialize procedures to respond to requests from data subjects to correct their personal data within 21 days of receiving such requests and should at a minimum:
a) provide data subjects with a personal data update form on the website
b) issue periodic notifications to data subjects to update their personal data
c) update personal data without undue delay upon receiving correction requests from data subjects
d) ensure that all the instances of the data subject's personal data are corrected upon receiving such requests
Further, the organization should maintain a mechanism to notify the data subject on the following in case of delays pertaining to adherence of the 21 day timeline for responding to the request to correct:
a) reason for the delay
b) the additional timeline of 14 days or less for responding to the request, if any
Furthermore, the application should have the functionality to support the process.</t>
  </si>
  <si>
    <t>PDPA Section 35, Section 12
PDPS Part II, Integrity Standard 7</t>
  </si>
  <si>
    <t>DSR_6</t>
  </si>
  <si>
    <t>Records of Data Correction Requests</t>
  </si>
  <si>
    <t>The organization should maintain a record of all data correction requests and should record the following:
a) a copy of the data correction request
b) a record of the verification of the identity of the data subject
c) copies of all correspondences relevant to the data correction request
d) a record of any decision made in relation to the data correction request
e) a copy of the corrected personal data that was sent to the data subject</t>
  </si>
  <si>
    <t>DSR_7</t>
  </si>
  <si>
    <t>Refusal of Data Subject Correction Request</t>
  </si>
  <si>
    <t>The organization should identify and document the scenarios under which they can refuse to act upon a data correction request. Following are some of the grounds for refusal of data correction request:
a) organization is not supplied with sufficient information as reasonably required (e.g. the name, identification card number, passport number, address, and such other related information as the Commissioner may determine) in order to establish the identity of the data subject
b) organization is not supplied with such information as he may reasonably require to ascertain in what way
the personal data to which the data correction request relates is inaccurate, incomplete, misleading or not up-to-date
c) organization is not satisfied that the personal data to which the data correction request relates is inaccurate, incomplete, misleading or not up-to-date
d) organization is not satisfied that the correction which is the subject of the data correction request is accurate, complete, not misleading or up-to-date
Further, the organization should define, document, approve and socialize procedures to ensure that the organization notifies the data subject or the requestor in writing on the refusal to comply with a data subject requests to exercise their rights along with a reason for the same. Such notification are sent within 21 days of receiving the request.</t>
  </si>
  <si>
    <t>PDPA Section 36
PDPA Section 33, 37</t>
  </si>
  <si>
    <t>DSR_8</t>
  </si>
  <si>
    <t xml:space="preserve">Right to Complaint </t>
  </si>
  <si>
    <t>The organisation should define, document, approve, socialize and implement policies and procedures:
a) for complaint handling in relation to personal data issues
b) to address the handling of personal data collected as part of complaint handling process
c) to cover response procedures from the time the issue becomes known (whether through complaint or otherwise) all the way through remediation
d) for individuals to submit privacy-related questions and/ or complaints
e) for listing the details of the team/ personnel (on its website and other communication materials) to be contacted for lodging complaints related to personnel data processing activities</t>
  </si>
  <si>
    <t>PDPA Section 7 (1-d)
PDPA Section 7 (1-d);</t>
  </si>
  <si>
    <t>DSR_9</t>
  </si>
  <si>
    <t xml:space="preserve">Right to Complaint - Root Cause </t>
  </si>
  <si>
    <t xml:space="preserve">The organization should ensure that root causes for data privacy complaints are investigated and that metrics on these complaints are reported to the top management and key stakeholders in order to optimize the response procedures. </t>
  </si>
  <si>
    <t>DSR_10</t>
  </si>
  <si>
    <t>Right to Erasure</t>
  </si>
  <si>
    <t>The organization should define, document, approve and socialize procedures to respond to data subjects' request to erase their personal data within defined timelines. Further upon receiving the request, the organization should erase all the instances the data in line with the request received. Furthermore, the application should have the functionality to support the process. 
Lastly, the application should have the functionality to support the process.</t>
  </si>
  <si>
    <t>DSR_11</t>
  </si>
  <si>
    <t>Direct Marketing</t>
  </si>
  <si>
    <t>The organization should define, document, approve and socialize procedures to ensure that it restricts the processing of personal data of a data subject for direct marketing purposes upon receiving a request from the data subject on the same. 
Further, the application should have the functionality to support the process.</t>
  </si>
  <si>
    <t>PDPA Section 43</t>
  </si>
  <si>
    <t>DSR_12</t>
  </si>
  <si>
    <t>Data Subject Rights - Automated Decision Making</t>
  </si>
  <si>
    <t>The organization should implement controls to facilitate Artificial Intelligence enabled applications to provide appropriate human oversight measures in order to minimize risk. 
Further, the application should have the functionality to support the process.</t>
  </si>
  <si>
    <t>DSR_13</t>
  </si>
  <si>
    <t>Data Subject Rights- Restrict/ Object Processing</t>
  </si>
  <si>
    <t>The organization should define, document, approve and socialize procedures to ensure that the organization implements mechanisms to ensure that users can request to restrict or stop the processing of personal data on receiving the request when the processing of personal data is causing or is likely to cause substantial damage or substantial distress to him or to another person.
Further, the application should have the functionality to support the process.</t>
  </si>
  <si>
    <t>PDPA Section 42(1)</t>
  </si>
  <si>
    <t>TA_1</t>
  </si>
  <si>
    <t>Training and Awareness</t>
  </si>
  <si>
    <t>Do's and Don’ts</t>
  </si>
  <si>
    <t xml:space="preserve">The organization should publish the do's and don’ts and standards expected of employees in their day-to-day work when dealing with personal data, on a periodic basis. </t>
  </si>
  <si>
    <t>TA_2</t>
  </si>
  <si>
    <t>Privacy/ Cybersecurity Training</t>
  </si>
  <si>
    <t>The organization should ensure that its new joiners, board, senior management, employees, application owners and agents, if any, attend cybersecurity awareness training program at least annually (at the time of joining for new joiners) to enhance their awareness and preparedness to deal with a wide range of cyber risk and to carry out their respective roles effectively. Further, privacy training materials should be included in the cybersecurity training program.</t>
  </si>
  <si>
    <t>GTRM
Guideline 5.05
PDPS Part II, Security Standard 5(9)</t>
  </si>
  <si>
    <t>IBM_1</t>
  </si>
  <si>
    <t>Incident and Breach Management</t>
  </si>
  <si>
    <t>Personal Data Breach Incident and Response Procedure</t>
  </si>
  <si>
    <t>The organization should define, document, approve and socialize procedures for handling personal data breaches and privacy incidents. The procedure should cover:
a) identification of a personal data breach 
b) security measures defined to contain and prevent further compromise of personal data
c) timelines for notification of data breaches as agreed with the organization
d) establishing and agreeing breach notification channel with the organization
e) with assistance from the organization, determination of the relevant mitigating controls
f) assessment of the impact of the personal data breach
g) review the breach and consider the actions to be taken to prevent future breaches
h) implement measures to contain the breach after identification
i) test the breach management process periodically including preparation, identification, containment, eradication, recovery and lesson learned from data breaches</t>
  </si>
  <si>
    <t>GTRM 
Guideline 7.21, 7.22(i)</t>
  </si>
  <si>
    <t>IBM_2</t>
  </si>
  <si>
    <t>Data Breach Notification</t>
  </si>
  <si>
    <t>The organization should define, document, approve and socialize procedures to mandatorily report data breaches to the PDP Commissioner.</t>
  </si>
  <si>
    <t>IBM_3</t>
  </si>
  <si>
    <t>Cyber Security Incident Response Capability</t>
  </si>
  <si>
    <t>The organization should have cyber incident response capability to manage and minimize damage from cyber incidents, and to recover and learn from such incidents. The cyber incident response capability should include:
a) preparation 
b) detection and analysis
c) containment, eradiation and recovery 
d) post Incident review
Further, the organization should identify the critical systems and services within its operating environment for containment, eradiation and recovery, that shall be recovered on a priority basis in order to provide an acceptable level of services during the downtime.</t>
  </si>
  <si>
    <t>GTRM
Guideline 9.15, 9.17</t>
  </si>
  <si>
    <t>IBM_4</t>
  </si>
  <si>
    <t>Cyber Security Incident Recovery</t>
  </si>
  <si>
    <t>The organization should define, document, approve and socialize:
a) a communication plan including escalation and decision-making processes to ensure that any adverse effect of a cyber incident is properly managed and recovery action may be initiated quickly
b) the recovery time objective to return to its full its service and operations
Further, the application should have the functionality to support the process.</t>
  </si>
  <si>
    <t>GTRM
Guideline 9.16</t>
  </si>
  <si>
    <t>IBM_5</t>
  </si>
  <si>
    <t>Cyber Incident Management Plan</t>
  </si>
  <si>
    <t>The organization should define, document, approve, socialize, regularly review and update the cyber incident management plan taking into account the information gathered from reputable cyber threat intelligence and lesson learned from cyber incidents.</t>
  </si>
  <si>
    <t>GTRM
Guideline 9.18</t>
  </si>
  <si>
    <t>Compliant</t>
  </si>
  <si>
    <t>Partially Compliant</t>
  </si>
  <si>
    <t>Non-Compliant</t>
  </si>
  <si>
    <t>Regulatory Contols</t>
  </si>
  <si>
    <t>Leading Practices</t>
  </si>
  <si>
    <t>Total</t>
  </si>
  <si>
    <t>Score</t>
  </si>
  <si>
    <t>Final %</t>
  </si>
  <si>
    <t>Color</t>
  </si>
  <si>
    <t>DLP, Data Loss Prevention</t>
  </si>
  <si>
    <t>CDE, Critical Data Elements</t>
  </si>
  <si>
    <t>Information Security Policy, ISP</t>
  </si>
  <si>
    <t>limit collection of personal data, only collect data that is needed</t>
  </si>
  <si>
    <t>purpose of collecting data</t>
  </si>
  <si>
    <t>retention period, deletion, disposal</t>
  </si>
  <si>
    <t>External Audit, Privacy Audit</t>
  </si>
  <si>
    <t>Internal Audit, Privacy Audit</t>
  </si>
  <si>
    <t>Roadmap, Implemetation</t>
  </si>
  <si>
    <t xml:space="preserve">Privacy By Design </t>
  </si>
  <si>
    <t>Internal Privacy Audit, Internal Security Audits</t>
  </si>
  <si>
    <t>Access Control, prevent unauthorised changes</t>
  </si>
  <si>
    <t>Access Control Policy, Access Control</t>
  </si>
  <si>
    <t>Backups, Backup</t>
  </si>
  <si>
    <t>analytic, third party analytics engine</t>
  </si>
  <si>
    <t>Anonymization, De-identification</t>
  </si>
  <si>
    <t>Security Standards, physical safeguards, key admin, technical safeguards</t>
  </si>
  <si>
    <t>Role Based Access, RBAC</t>
  </si>
  <si>
    <t>Antivirus, Malware</t>
  </si>
  <si>
    <t>Multi-Factor Authentication, MFA</t>
  </si>
  <si>
    <t>Security Operation Centre, SOC</t>
  </si>
  <si>
    <t>Data Inventory</t>
  </si>
  <si>
    <t>Data Processing Agreement, DPA</t>
  </si>
  <si>
    <t>Right to Access, can access, allowed to access</t>
  </si>
  <si>
    <t>Right to Correct, can update, allowed to update</t>
  </si>
  <si>
    <t>Right to Complaint, can complaint, allowed to complain</t>
  </si>
  <si>
    <t>Right  to Erasure, can delete, allowed to delete</t>
  </si>
  <si>
    <t>Privacy Training, Cybersecurity Training</t>
  </si>
  <si>
    <t>Personal Data Breach, Data Breach, Data Breach Response</t>
  </si>
  <si>
    <t>Data Breach Notification, Data Breach</t>
  </si>
  <si>
    <t>Cyber Security Incident, Cyber Security Incident Recovery</t>
  </si>
  <si>
    <t>Cyber Incident, Incident Management</t>
  </si>
  <si>
    <t>Cyber Security Incident, Cyber Security Response</t>
  </si>
  <si>
    <t>identify root cause, complaints</t>
  </si>
  <si>
    <t>marketing</t>
  </si>
  <si>
    <t>Cyber Assessment, Cyber Threats</t>
  </si>
  <si>
    <t>Penetration Testing, VAPT</t>
  </si>
  <si>
    <t>Vulnerability Assessment, Vulnerability, VAPT</t>
  </si>
  <si>
    <t>Maintain Confidentiality,  maintain integrity, availability of data</t>
  </si>
  <si>
    <t>Cyber Simulation, Cyber Exercise</t>
  </si>
  <si>
    <t>web filtering, email filtering</t>
  </si>
  <si>
    <t>Third Party Contracts, Third Party</t>
  </si>
  <si>
    <t>Third Party Integration, Third Party</t>
  </si>
  <si>
    <t>Vendor Assessments, Third Party Assessments</t>
  </si>
  <si>
    <t>Records of Transfer, record transfer of data</t>
  </si>
  <si>
    <t>Cyber Threat Awareness, cyber threats</t>
  </si>
  <si>
    <t>Cyber Threat Analysis Report, types of attacks</t>
  </si>
  <si>
    <t>Refusal of Access Request, Refusal of Access</t>
  </si>
  <si>
    <t>Refusal of Update Request, Refusal of 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</si>
</sst>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scheme val="minor"/>
    </font>
    <font>
      <u/>
      <sz val="11"/>
      <color theme="10"/>
      <name val="Calibri"/>
      <family val="2"/>
      <scheme val="minor"/>
    </font>
    <font>
      <sz val="10"/>
      <color theme="1"/>
      <name val="Arial"/>
      <family val="2"/>
    </font>
    <font>
      <b/>
      <sz val="12"/>
      <color theme="0"/>
      <name val="Arial"/>
      <family val="2"/>
    </font>
    <font>
      <b/>
      <sz val="10"/>
      <color theme="1"/>
      <name val="Arial"/>
      <family val="2"/>
    </font>
    <font>
      <b/>
      <sz val="11"/>
      <color theme="1"/>
      <name val="Calibri"/>
      <family val="2"/>
      <scheme val="minor"/>
    </font>
    <font>
      <b/>
      <sz val="11"/>
      <color theme="0"/>
      <name val="Calibri"/>
      <family val="2"/>
      <scheme val="minor"/>
    </font>
  </fonts>
  <fills count="7">
    <fill>
      <patternFill patternType="none"/>
    </fill>
    <fill>
      <patternFill patternType="gray125"/>
    </fill>
    <fill>
      <patternFill patternType="solid">
        <fgColor theme="8" tint="-0.249977111117893"/>
        <bgColor indexed="64"/>
      </patternFill>
    </fill>
    <fill>
      <patternFill patternType="solid">
        <fgColor theme="0"/>
        <bgColor indexed="64"/>
      </patternFill>
    </fill>
    <fill>
      <patternFill patternType="solid">
        <fgColor rgb="FF2F75B5"/>
        <bgColor indexed="64"/>
      </patternFill>
    </fill>
    <fill>
      <gradientFill degree="45">
        <stop position="0">
          <color rgb="FF002060"/>
        </stop>
        <stop position="1">
          <color theme="8"/>
        </stop>
      </gradientFill>
    </fill>
    <fill>
      <gradientFill degree="135">
        <stop position="0">
          <color rgb="FF002060"/>
        </stop>
        <stop position="1">
          <color theme="8"/>
        </stop>
      </gradient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theme="4" tint="0.39997558519241921"/>
      </top>
      <bottom style="thin">
        <color indexed="64"/>
      </bottom>
      <diagonal/>
    </border>
    <border>
      <left style="thin">
        <color indexed="64"/>
      </left>
      <right style="thin">
        <color indexed="64"/>
      </right>
      <top style="thin">
        <color theme="4" tint="0.39997558519241921"/>
      </top>
      <bottom style="thin">
        <color indexed="64"/>
      </bottom>
      <diagonal/>
    </border>
    <border>
      <left style="thin">
        <color indexed="64"/>
      </left>
      <right/>
      <top style="thin">
        <color theme="4" tint="0.39997558519241921"/>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s>
  <cellStyleXfs count="4">
    <xf numFmtId="0" fontId="0" fillId="0" borderId="0"/>
    <xf numFmtId="0" fontId="1" fillId="0" borderId="0" applyNumberFormat="0" applyFill="0" applyBorder="0" applyAlignment="0" applyProtection="0"/>
    <xf numFmtId="0" fontId="6" fillId="5" borderId="3" applyBorder="0">
      <alignment horizontal="left" vertical="center" textRotation="45" wrapText="1"/>
    </xf>
    <xf numFmtId="0" fontId="6" fillId="6" borderId="3" applyBorder="0">
      <alignment horizontal="left" vertical="center" textRotation="45" wrapText="1"/>
    </xf>
  </cellStyleXfs>
  <cellXfs count="27">
    <xf numFmtId="0" fontId="0" fillId="0" borderId="0" xfId="0"/>
    <xf numFmtId="0" fontId="2" fillId="3" borderId="1" xfId="0" applyFont="1" applyFill="1" applyBorder="1" applyAlignment="1">
      <alignment horizontal="center" vertical="center" wrapText="1"/>
    </xf>
    <xf numFmtId="0" fontId="0" fillId="0" borderId="0" xfId="0" applyAlignment="1">
      <alignment horizontal="center" vertical="center"/>
    </xf>
    <xf numFmtId="0" fontId="2" fillId="3" borderId="2" xfId="0" applyFont="1" applyFill="1" applyBorder="1" applyAlignment="1">
      <alignment horizontal="center" vertical="center" wrapText="1"/>
    </xf>
    <xf numFmtId="0" fontId="2" fillId="3"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0" fillId="0" borderId="1" xfId="0" applyBorder="1"/>
    <xf numFmtId="0" fontId="5" fillId="0" borderId="1" xfId="0" applyFont="1" applyBorder="1"/>
    <xf numFmtId="9" fontId="0" fillId="0" borderId="1" xfId="0" applyNumberFormat="1" applyBorder="1"/>
    <xf numFmtId="0" fontId="2" fillId="3" borderId="1" xfId="1" applyFont="1" applyFill="1" applyBorder="1" applyAlignment="1">
      <alignment horizontal="center" vertical="center"/>
    </xf>
    <xf numFmtId="0" fontId="2" fillId="3" borderId="4" xfId="0" applyFont="1" applyFill="1" applyBorder="1" applyAlignment="1">
      <alignment horizontal="center" vertical="center"/>
    </xf>
    <xf numFmtId="0" fontId="3" fillId="4" borderId="5" xfId="0" applyFont="1" applyFill="1" applyBorder="1" applyAlignment="1">
      <alignment horizontal="center" vertical="center" wrapText="1"/>
    </xf>
    <xf numFmtId="0" fontId="2" fillId="3" borderId="6" xfId="0" applyFont="1" applyFill="1" applyBorder="1" applyAlignment="1">
      <alignment horizontal="center" vertical="center"/>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3" xfId="1" applyFont="1" applyFill="1" applyBorder="1" applyAlignment="1">
      <alignment horizontal="center" vertical="center"/>
    </xf>
    <xf numFmtId="0" fontId="2" fillId="3" borderId="8" xfId="0" applyFont="1" applyFill="1" applyBorder="1" applyAlignment="1">
      <alignment horizontal="center" vertical="center"/>
    </xf>
    <xf numFmtId="0" fontId="2" fillId="3" borderId="4" xfId="1" applyFont="1" applyFill="1" applyBorder="1" applyAlignment="1">
      <alignment horizontal="center" vertical="center"/>
    </xf>
    <xf numFmtId="0" fontId="2" fillId="3" borderId="11"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9" xfId="0" applyFont="1" applyFill="1" applyBorder="1" applyAlignment="1">
      <alignment horizontal="center" vertical="center"/>
    </xf>
    <xf numFmtId="0" fontId="2" fillId="4" borderId="10" xfId="0" applyFont="1" applyFill="1" applyBorder="1" applyAlignment="1">
      <alignment horizontal="center" vertical="center"/>
    </xf>
    <xf numFmtId="0" fontId="0" fillId="4" borderId="0" xfId="0" applyFill="1"/>
    <xf numFmtId="0" fontId="2" fillId="3" borderId="2" xfId="0" applyFont="1" applyFill="1" applyBorder="1" applyAlignment="1">
      <alignment horizontal="center" vertical="center"/>
    </xf>
    <xf numFmtId="0" fontId="2" fillId="4" borderId="12" xfId="0" applyFont="1" applyFill="1" applyBorder="1" applyAlignment="1">
      <alignment horizontal="center" vertical="center"/>
    </xf>
  </cellXfs>
  <cellStyles count="4">
    <cellStyle name="Hyperlink" xfId="1" builtinId="8"/>
    <cellStyle name="Normal" xfId="0" builtinId="0"/>
    <cellStyle name="Style 1" xfId="2" xr:uid="{27A077DD-9C24-4B5D-A8AB-42BC10F77946}"/>
    <cellStyle name="Style 2" xfId="3" xr:uid="{77C750FE-4979-489E-A29C-922F17D9FC82}"/>
  </cellStyles>
  <dxfs count="35">
    <dxf>
      <fill>
        <patternFill>
          <bgColor theme="9"/>
        </patternFill>
      </fill>
    </dxf>
    <dxf>
      <fill>
        <patternFill>
          <bgColor rgb="FFFF0000"/>
        </patternFill>
      </fill>
    </dxf>
    <dxf>
      <fill>
        <patternFill>
          <bgColor theme="7" tint="-0.24994659260841701"/>
        </patternFill>
      </fill>
    </dxf>
    <dxf>
      <fill>
        <patternFill>
          <bgColor theme="0" tint="-0.24994659260841701"/>
        </patternFill>
      </fill>
    </dxf>
    <dxf>
      <font>
        <color rgb="FF9C0006"/>
      </font>
      <fill>
        <patternFill>
          <bgColor rgb="FFFFC7CE"/>
        </patternFill>
      </fill>
    </dxf>
    <dxf>
      <fill>
        <patternFill>
          <bgColor theme="9"/>
        </patternFill>
      </fill>
    </dxf>
    <dxf>
      <fill>
        <patternFill>
          <bgColor theme="9"/>
        </patternFill>
      </fill>
    </dxf>
    <dxf>
      <fill>
        <patternFill>
          <bgColor rgb="FFFF0000"/>
        </patternFill>
      </fill>
    </dxf>
    <dxf>
      <fill>
        <patternFill>
          <bgColor theme="7" tint="-0.24994659260841701"/>
        </patternFill>
      </fill>
    </dxf>
    <dxf>
      <fill>
        <patternFill>
          <bgColor theme="0" tint="-0.24994659260841701"/>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medium">
          <color indexed="64"/>
        </left>
        <right style="thin">
          <color indexed="64"/>
        </right>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rgb="FF2F75B5"/>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2" defaultTableStyle="TableStyleMedium2" defaultPivotStyle="PivotStyleLight16">
    <tableStyle name="Table Style 1" pivot="0" count="0" xr9:uid="{B5BF3CD2-2256-4E37-968C-3CCB2F62E2A1}"/>
    <tableStyle name="Table Style 2" pivot="0" count="0" xr9:uid="{2074E8A5-DA83-4765-A542-43E5C6C97065}"/>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00338D"/>
      <rgbColor rgb="000091DA"/>
      <rgbColor rgb="006D2077"/>
      <rgbColor rgb="00005EB8"/>
      <rgbColor rgb="0000A3A1"/>
      <rgbColor rgb="00EAAA00"/>
      <rgbColor rgb="0043B02A"/>
      <rgbColor rgb="00C6007E"/>
      <rgbColor rgb="0000338D"/>
      <rgbColor rgb="000091DA"/>
      <rgbColor rgb="006D2077"/>
      <rgbColor rgb="00005EB8"/>
      <rgbColor rgb="0000A3A1"/>
      <rgbColor rgb="00EAAA00"/>
      <rgbColor rgb="0043B02A"/>
      <rgbColor rgb="00C6007E"/>
      <rgbColor rgb="00753F19"/>
      <rgbColor rgb="009B642E"/>
      <rgbColor rgb="009D9375"/>
      <rgbColor rgb="00E3BC9F"/>
      <rgbColor rgb="00E36877"/>
      <rgbColor rgb="00FF99CC"/>
      <rgbColor rgb="00CC99FF"/>
      <rgbColor rgb="00FFCC99"/>
      <rgbColor rgb="003366FF"/>
      <rgbColor rgb="0033CCCC"/>
      <rgbColor rgb="0099CC00"/>
      <rgbColor rgb="00F5B36A"/>
      <rgbColor rgb="00FF9900"/>
      <rgbColor rgb="00FF6600"/>
      <rgbColor rgb="00666699"/>
      <rgbColor rgb="00969696"/>
      <rgbColor rgb="00003366"/>
      <rgbColor rgb="00339966"/>
      <rgbColor rgb="00003300"/>
      <rgbColor rgb="00333300"/>
      <rgbColor rgb="00993300"/>
      <rgbColor rgb="00E6E9EE"/>
      <rgbColor rgb="00333399"/>
      <rgbColor rgb="00333333"/>
    </indexedColors>
    <mruColors>
      <color rgb="FF2F75B5"/>
      <color rgb="FFBF900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6A6758-0325-429C-8E8A-918F9451C8FD}" name="Framework" displayName="Framework" ref="A1:N85" totalsRowShown="0" headerRowDxfId="34" dataDxfId="33" tableBorderDxfId="32">
  <autoFilter ref="A1:N85" xr:uid="{BF6A6758-0325-429C-8E8A-918F9451C8FD}"/>
  <tableColumns count="14">
    <tableColumn id="1" xr3:uid="{4AD41230-ED2B-4334-8542-8F20C52EDE90}" name="Control Ref" dataDxfId="31"/>
    <tableColumn id="2" xr3:uid="{2625DFAD-5916-4084-A985-C51647C47FA9}" name="Domain" dataDxfId="30"/>
    <tableColumn id="16" xr3:uid="{5E4F4078-AD3B-457E-833A-C657774E7359}" name="Keywords" dataDxfId="29"/>
    <tableColumn id="3" xr3:uid="{C48768C6-C347-4F76-B113-CEBC72440A0A}" name="Sub-domain" dataDxfId="28"/>
    <tableColumn id="4" xr3:uid="{2CF29B9C-8491-45C9-933E-C7714EC42837}" name="Control Description" dataDxfId="27"/>
    <tableColumn id="5" xr3:uid="{45FE0131-8850-4108-8A9A-3AD0D6496F20}" name="Applicability for D&amp;PIA" dataDxfId="26"/>
    <tableColumn id="6" xr3:uid="{C13085F2-BDA9-4172-8D5A-BC3149076EE6}" name="Control Level" dataDxfId="25"/>
    <tableColumn id="7" xr3:uid="{90F9775B-B8A9-48EC-8881-7EC41875CBAA}" name="Control Type" dataDxfId="24"/>
    <tableColumn id="8" xr3:uid="{7FFD565E-321D-45DF-8D01-0B8F0123B787}" name=" Regulatory reference" dataDxfId="23" dataCellStyle="Hyperlink"/>
    <tableColumn id="9" xr3:uid="{B7AB7877-63D6-42EB-8AC4-B0F2EB9B4057}" name="Observation"/>
    <tableColumn id="10" xr3:uid="{A2C00C98-C963-42EE-9216-DC013C71BC26}" name="Compliance Status" dataDxfId="22"/>
    <tableColumn id="11" xr3:uid="{601B9477-20FD-44F0-A98A-42D91AF3DD2B}" name="Recommendations" dataDxfId="21"/>
    <tableColumn id="12" xr3:uid="{2FF2894C-4811-4C4C-BBDF-621D29747D51}" name="Remarks" dataDxfId="20"/>
    <tableColumn id="13" xr3:uid="{398ABA0B-419E-41B8-9815-5B77CF8847AB}" name="Keywords2" dataDxfId="19"/>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944B7-7E72-46AD-A9AB-5274BB374A51}">
  <dimension ref="A1:N85"/>
  <sheetViews>
    <sheetView tabSelected="1" topLeftCell="B2" zoomScale="57" workbookViewId="0">
      <selection activeCell="J2" sqref="J2"/>
    </sheetView>
  </sheetViews>
  <sheetFormatPr defaultRowHeight="60" customHeight="1" x14ac:dyDescent="0.35"/>
  <cols>
    <col min="1" max="1" width="25.453125" bestFit="1" customWidth="1"/>
    <col min="2" max="3" width="33.453125" customWidth="1"/>
    <col min="4" max="4" width="52.26953125" bestFit="1" customWidth="1"/>
    <col min="5" max="5" width="255.54296875" bestFit="1" customWidth="1"/>
    <col min="6" max="6" width="37.54296875" bestFit="1" customWidth="1"/>
    <col min="7" max="7" width="26.81640625" bestFit="1" customWidth="1"/>
    <col min="8" max="8" width="26.26953125" bestFit="1" customWidth="1"/>
    <col min="9" max="9" width="86.7265625" bestFit="1" customWidth="1"/>
    <col min="10" max="10" width="25.453125" bestFit="1" customWidth="1"/>
    <col min="11" max="11" width="33.1796875" bestFit="1" customWidth="1"/>
    <col min="12" max="12" width="32.81640625" bestFit="1" customWidth="1"/>
    <col min="13" max="13" width="21.81640625" bestFit="1" customWidth="1"/>
  </cols>
  <sheetData>
    <row r="1" spans="1:14" s="24" customFormat="1" ht="60" customHeight="1" thickBot="1" x14ac:dyDescent="0.4">
      <c r="A1" s="12" t="s">
        <v>0</v>
      </c>
      <c r="B1" s="21" t="s">
        <v>1</v>
      </c>
      <c r="C1" s="21" t="s">
        <v>2</v>
      </c>
      <c r="D1" s="22" t="s">
        <v>3</v>
      </c>
      <c r="E1" s="22" t="s">
        <v>4</v>
      </c>
      <c r="F1" s="22" t="s">
        <v>5</v>
      </c>
      <c r="G1" s="22" t="s">
        <v>6</v>
      </c>
      <c r="H1" s="22" t="s">
        <v>7</v>
      </c>
      <c r="I1" s="22" t="s">
        <v>8</v>
      </c>
      <c r="J1" s="22" t="s">
        <v>9</v>
      </c>
      <c r="K1" s="22" t="s">
        <v>10</v>
      </c>
      <c r="L1" s="22" t="s">
        <v>11</v>
      </c>
      <c r="M1" s="23" t="s">
        <v>12</v>
      </c>
      <c r="N1" s="26" t="s">
        <v>13</v>
      </c>
    </row>
    <row r="2" spans="1:14" ht="60" customHeight="1" x14ac:dyDescent="0.35">
      <c r="A2" s="18" t="s">
        <v>14</v>
      </c>
      <c r="B2" s="13" t="s">
        <v>15</v>
      </c>
      <c r="C2" s="4" t="s">
        <v>16</v>
      </c>
      <c r="D2" s="4" t="s">
        <v>16</v>
      </c>
      <c r="E2" s="4" t="s">
        <v>17</v>
      </c>
      <c r="F2" s="4" t="s">
        <v>18</v>
      </c>
      <c r="G2" s="4" t="s">
        <v>19</v>
      </c>
      <c r="H2" s="10" t="s">
        <v>20</v>
      </c>
      <c r="I2" s="4" t="s">
        <v>21</v>
      </c>
      <c r="K2" s="4" t="s">
        <v>22</v>
      </c>
      <c r="L2" s="4"/>
      <c r="M2" s="11"/>
      <c r="N2" s="25"/>
    </row>
    <row r="3" spans="1:14" ht="60" customHeight="1" x14ac:dyDescent="0.35">
      <c r="A3" s="13" t="s">
        <v>23</v>
      </c>
      <c r="B3" s="13" t="s">
        <v>15</v>
      </c>
      <c r="C3" s="4" t="s">
        <v>24</v>
      </c>
      <c r="D3" s="4" t="s">
        <v>24</v>
      </c>
      <c r="E3" s="4" t="s">
        <v>25</v>
      </c>
      <c r="F3" s="4" t="s">
        <v>18</v>
      </c>
      <c r="G3" s="4" t="s">
        <v>19</v>
      </c>
      <c r="H3" s="10" t="s">
        <v>26</v>
      </c>
      <c r="I3" s="10" t="s">
        <v>27</v>
      </c>
      <c r="K3" s="4" t="s">
        <v>22</v>
      </c>
      <c r="L3" s="4"/>
      <c r="M3" s="19"/>
      <c r="N3" s="4"/>
    </row>
    <row r="4" spans="1:14" ht="60" customHeight="1" x14ac:dyDescent="0.35">
      <c r="A4" s="13" t="s">
        <v>28</v>
      </c>
      <c r="B4" s="13" t="s">
        <v>15</v>
      </c>
      <c r="C4" s="4" t="s">
        <v>29</v>
      </c>
      <c r="D4" s="4" t="s">
        <v>29</v>
      </c>
      <c r="E4" s="4" t="s">
        <v>30</v>
      </c>
      <c r="F4" s="4" t="s">
        <v>18</v>
      </c>
      <c r="G4" s="4" t="s">
        <v>19</v>
      </c>
      <c r="H4" s="4" t="s">
        <v>26</v>
      </c>
      <c r="I4" s="4" t="s">
        <v>27</v>
      </c>
      <c r="K4" s="4" t="s">
        <v>22</v>
      </c>
      <c r="L4" s="4"/>
      <c r="M4" s="11"/>
      <c r="N4" s="4"/>
    </row>
    <row r="5" spans="1:14" ht="60" customHeight="1" x14ac:dyDescent="0.35">
      <c r="A5" s="13" t="s">
        <v>31</v>
      </c>
      <c r="B5" s="13" t="s">
        <v>32</v>
      </c>
      <c r="C5" s="13" t="s">
        <v>33</v>
      </c>
      <c r="D5" s="4" t="s">
        <v>34</v>
      </c>
      <c r="E5" s="4" t="s">
        <v>35</v>
      </c>
      <c r="F5" s="4" t="s">
        <v>36</v>
      </c>
      <c r="G5" s="4" t="s">
        <v>19</v>
      </c>
      <c r="H5" s="10" t="s">
        <v>20</v>
      </c>
      <c r="I5" s="4" t="s">
        <v>37</v>
      </c>
      <c r="K5" s="4" t="s">
        <v>22</v>
      </c>
      <c r="L5" s="4"/>
      <c r="M5" s="11"/>
      <c r="N5" s="4"/>
    </row>
    <row r="6" spans="1:14" ht="60" customHeight="1" x14ac:dyDescent="0.35">
      <c r="A6" s="13" t="s">
        <v>38</v>
      </c>
      <c r="B6" s="13" t="s">
        <v>32</v>
      </c>
      <c r="C6" s="13" t="s">
        <v>39</v>
      </c>
      <c r="D6" s="4" t="s">
        <v>40</v>
      </c>
      <c r="E6" s="4" t="s">
        <v>41</v>
      </c>
      <c r="F6" s="4" t="s">
        <v>36</v>
      </c>
      <c r="G6" s="4" t="s">
        <v>19</v>
      </c>
      <c r="H6" s="4" t="s">
        <v>20</v>
      </c>
      <c r="I6" s="4" t="s">
        <v>42</v>
      </c>
      <c r="K6" s="4" t="s">
        <v>22</v>
      </c>
      <c r="L6" s="4"/>
      <c r="M6" s="11"/>
      <c r="N6" s="4"/>
    </row>
    <row r="7" spans="1:14" ht="60" customHeight="1" x14ac:dyDescent="0.35">
      <c r="A7" s="13" t="s">
        <v>43</v>
      </c>
      <c r="B7" s="13" t="s">
        <v>32</v>
      </c>
      <c r="C7" s="4" t="s">
        <v>44</v>
      </c>
      <c r="D7" s="4" t="s">
        <v>44</v>
      </c>
      <c r="E7" s="4" t="s">
        <v>45</v>
      </c>
      <c r="F7" s="4" t="s">
        <v>18</v>
      </c>
      <c r="G7" s="4" t="s">
        <v>19</v>
      </c>
      <c r="H7" s="10" t="s">
        <v>20</v>
      </c>
      <c r="I7" s="4" t="s">
        <v>46</v>
      </c>
      <c r="K7" s="4" t="s">
        <v>22</v>
      </c>
      <c r="L7" s="4"/>
      <c r="M7" s="11"/>
      <c r="N7" s="4"/>
    </row>
    <row r="8" spans="1:14" ht="60" customHeight="1" x14ac:dyDescent="0.35">
      <c r="A8" s="13" t="s">
        <v>47</v>
      </c>
      <c r="B8" s="13" t="s">
        <v>32</v>
      </c>
      <c r="C8" s="4" t="s">
        <v>48</v>
      </c>
      <c r="D8" s="4" t="s">
        <v>48</v>
      </c>
      <c r="E8" s="4" t="s">
        <v>49</v>
      </c>
      <c r="F8" s="4" t="s">
        <v>18</v>
      </c>
      <c r="G8" s="4" t="s">
        <v>19</v>
      </c>
      <c r="H8" s="10" t="s">
        <v>26</v>
      </c>
      <c r="I8" s="4" t="s">
        <v>27</v>
      </c>
      <c r="K8" s="4" t="s">
        <v>22</v>
      </c>
      <c r="L8" s="4"/>
      <c r="M8" s="11"/>
      <c r="N8" s="4"/>
    </row>
    <row r="9" spans="1:14" ht="60" customHeight="1" x14ac:dyDescent="0.35">
      <c r="A9" s="13" t="s">
        <v>50</v>
      </c>
      <c r="B9" s="13" t="s">
        <v>32</v>
      </c>
      <c r="C9" s="13" t="s">
        <v>51</v>
      </c>
      <c r="D9" s="4" t="s">
        <v>52</v>
      </c>
      <c r="E9" s="4" t="s">
        <v>53</v>
      </c>
      <c r="F9" s="4" t="s">
        <v>36</v>
      </c>
      <c r="G9" s="4" t="s">
        <v>54</v>
      </c>
      <c r="H9" s="10" t="s">
        <v>20</v>
      </c>
      <c r="I9" s="10" t="s">
        <v>42</v>
      </c>
      <c r="K9" s="4" t="s">
        <v>22</v>
      </c>
      <c r="L9" s="4"/>
      <c r="M9" s="19"/>
      <c r="N9" s="4"/>
    </row>
    <row r="10" spans="1:14" ht="60" customHeight="1" x14ac:dyDescent="0.35">
      <c r="A10" s="13" t="s">
        <v>55</v>
      </c>
      <c r="B10" s="13" t="s">
        <v>32</v>
      </c>
      <c r="C10" s="13" t="s">
        <v>56</v>
      </c>
      <c r="D10" s="4" t="s">
        <v>57</v>
      </c>
      <c r="E10" s="4" t="s">
        <v>58</v>
      </c>
      <c r="F10" s="4" t="s">
        <v>36</v>
      </c>
      <c r="G10" s="4" t="s">
        <v>54</v>
      </c>
      <c r="H10" s="10" t="s">
        <v>26</v>
      </c>
      <c r="I10" s="10" t="s">
        <v>27</v>
      </c>
      <c r="K10" s="4" t="s">
        <v>22</v>
      </c>
      <c r="L10" s="4"/>
      <c r="M10" s="19"/>
      <c r="N10" s="4"/>
    </row>
    <row r="11" spans="1:14" ht="60" customHeight="1" x14ac:dyDescent="0.35">
      <c r="A11" s="13" t="s">
        <v>59</v>
      </c>
      <c r="B11" s="13" t="s">
        <v>32</v>
      </c>
      <c r="C11" s="13" t="s">
        <v>60</v>
      </c>
      <c r="D11" s="4" t="s">
        <v>61</v>
      </c>
      <c r="E11" s="4" t="s">
        <v>62</v>
      </c>
      <c r="F11" s="4" t="s">
        <v>36</v>
      </c>
      <c r="G11" s="4" t="s">
        <v>54</v>
      </c>
      <c r="H11" s="10" t="s">
        <v>20</v>
      </c>
      <c r="I11" s="4" t="s">
        <v>63</v>
      </c>
      <c r="K11" s="4" t="s">
        <v>22</v>
      </c>
      <c r="L11" s="4"/>
      <c r="M11" s="11"/>
      <c r="N11" s="4"/>
    </row>
    <row r="12" spans="1:14" ht="60" customHeight="1" x14ac:dyDescent="0.35">
      <c r="A12" s="13" t="s">
        <v>64</v>
      </c>
      <c r="B12" s="13" t="s">
        <v>32</v>
      </c>
      <c r="C12" s="13" t="s">
        <v>65</v>
      </c>
      <c r="D12" s="4" t="s">
        <v>66</v>
      </c>
      <c r="E12" s="4" t="s">
        <v>67</v>
      </c>
      <c r="F12" s="4" t="s">
        <v>36</v>
      </c>
      <c r="G12" s="4" t="s">
        <v>54</v>
      </c>
      <c r="H12" s="10" t="s">
        <v>20</v>
      </c>
      <c r="I12" s="10" t="s">
        <v>68</v>
      </c>
      <c r="K12" s="4" t="s">
        <v>22</v>
      </c>
      <c r="L12" s="4"/>
      <c r="M12" s="19"/>
      <c r="N12" s="4"/>
    </row>
    <row r="13" spans="1:14" ht="60" customHeight="1" x14ac:dyDescent="0.35">
      <c r="A13" s="13" t="s">
        <v>69</v>
      </c>
      <c r="B13" s="13" t="s">
        <v>70</v>
      </c>
      <c r="C13" s="13" t="s">
        <v>71</v>
      </c>
      <c r="D13" s="4" t="s">
        <v>72</v>
      </c>
      <c r="E13" s="4" t="s">
        <v>73</v>
      </c>
      <c r="F13" s="4" t="s">
        <v>18</v>
      </c>
      <c r="G13" s="4" t="s">
        <v>19</v>
      </c>
      <c r="H13" s="10" t="s">
        <v>20</v>
      </c>
      <c r="I13" s="10" t="s">
        <v>74</v>
      </c>
      <c r="K13" s="4" t="s">
        <v>22</v>
      </c>
      <c r="L13" s="4"/>
      <c r="M13" s="19"/>
      <c r="N13" s="4"/>
    </row>
    <row r="14" spans="1:14" ht="60" customHeight="1" x14ac:dyDescent="0.35">
      <c r="A14" s="13" t="s">
        <v>75</v>
      </c>
      <c r="B14" s="13" t="s">
        <v>70</v>
      </c>
      <c r="C14" s="13" t="s">
        <v>76</v>
      </c>
      <c r="D14" s="4" t="s">
        <v>77</v>
      </c>
      <c r="E14" s="4" t="s">
        <v>78</v>
      </c>
      <c r="F14" s="4" t="s">
        <v>18</v>
      </c>
      <c r="G14" s="4" t="s">
        <v>54</v>
      </c>
      <c r="H14" s="10" t="s">
        <v>20</v>
      </c>
      <c r="I14" s="10" t="s">
        <v>79</v>
      </c>
      <c r="K14" s="4" t="s">
        <v>22</v>
      </c>
      <c r="L14" s="4"/>
      <c r="M14" s="19"/>
      <c r="N14" s="4"/>
    </row>
    <row r="15" spans="1:14" ht="60" customHeight="1" x14ac:dyDescent="0.35">
      <c r="A15" s="13" t="s">
        <v>80</v>
      </c>
      <c r="B15" s="13" t="s">
        <v>70</v>
      </c>
      <c r="C15" s="13" t="s">
        <v>81</v>
      </c>
      <c r="D15" s="4" t="s">
        <v>82</v>
      </c>
      <c r="E15" s="4" t="s">
        <v>83</v>
      </c>
      <c r="F15" s="4" t="s">
        <v>36</v>
      </c>
      <c r="G15" s="4" t="s">
        <v>54</v>
      </c>
      <c r="H15" s="10" t="s">
        <v>20</v>
      </c>
      <c r="I15" s="4" t="s">
        <v>84</v>
      </c>
      <c r="K15" s="4" t="s">
        <v>22</v>
      </c>
      <c r="L15" s="4"/>
      <c r="M15" s="11"/>
      <c r="N15" s="4"/>
    </row>
    <row r="16" spans="1:14" ht="60" customHeight="1" x14ac:dyDescent="0.35">
      <c r="A16" s="13" t="s">
        <v>85</v>
      </c>
      <c r="B16" s="13" t="s">
        <v>70</v>
      </c>
      <c r="C16" s="13" t="s">
        <v>86</v>
      </c>
      <c r="D16" s="4" t="s">
        <v>87</v>
      </c>
      <c r="E16" s="4" t="s">
        <v>88</v>
      </c>
      <c r="F16" s="4" t="s">
        <v>18</v>
      </c>
      <c r="G16" s="4" t="s">
        <v>54</v>
      </c>
      <c r="H16" s="10" t="s">
        <v>20</v>
      </c>
      <c r="I16" s="10" t="s">
        <v>89</v>
      </c>
      <c r="K16" s="4" t="s">
        <v>22</v>
      </c>
      <c r="L16" s="4"/>
      <c r="M16" s="19"/>
      <c r="N16" s="4"/>
    </row>
    <row r="17" spans="1:14" ht="60" customHeight="1" x14ac:dyDescent="0.35">
      <c r="A17" s="13" t="s">
        <v>90</v>
      </c>
      <c r="B17" s="13" t="s">
        <v>70</v>
      </c>
      <c r="C17" s="13" t="s">
        <v>91</v>
      </c>
      <c r="D17" s="4" t="s">
        <v>92</v>
      </c>
      <c r="E17" s="4" t="s">
        <v>93</v>
      </c>
      <c r="F17" s="4" t="s">
        <v>36</v>
      </c>
      <c r="G17" s="4" t="s">
        <v>54</v>
      </c>
      <c r="H17" s="10" t="s">
        <v>20</v>
      </c>
      <c r="I17" s="10" t="s">
        <v>94</v>
      </c>
      <c r="K17" s="4" t="s">
        <v>22</v>
      </c>
      <c r="L17" s="4"/>
      <c r="M17" s="19"/>
      <c r="N17" s="4"/>
    </row>
    <row r="18" spans="1:14" ht="60" customHeight="1" x14ac:dyDescent="0.35">
      <c r="A18" s="13" t="s">
        <v>95</v>
      </c>
      <c r="B18" s="13" t="s">
        <v>70</v>
      </c>
      <c r="C18" s="13" t="s">
        <v>364</v>
      </c>
      <c r="D18" s="4" t="s">
        <v>96</v>
      </c>
      <c r="E18" s="4" t="s">
        <v>97</v>
      </c>
      <c r="F18" s="4" t="s">
        <v>36</v>
      </c>
      <c r="G18" s="4" t="s">
        <v>54</v>
      </c>
      <c r="H18" s="10" t="s">
        <v>20</v>
      </c>
      <c r="I18" s="10" t="s">
        <v>98</v>
      </c>
      <c r="K18" s="4" t="s">
        <v>22</v>
      </c>
      <c r="L18" s="4"/>
      <c r="M18" s="19"/>
      <c r="N18" s="4"/>
    </row>
    <row r="19" spans="1:14" ht="60" customHeight="1" x14ac:dyDescent="0.35">
      <c r="A19" s="13" t="s">
        <v>99</v>
      </c>
      <c r="B19" s="13" t="s">
        <v>100</v>
      </c>
      <c r="C19" s="13" t="s">
        <v>365</v>
      </c>
      <c r="D19" s="4" t="s">
        <v>101</v>
      </c>
      <c r="E19" s="4" t="s">
        <v>102</v>
      </c>
      <c r="F19" s="4" t="s">
        <v>36</v>
      </c>
      <c r="G19" s="4" t="s">
        <v>54</v>
      </c>
      <c r="H19" s="10" t="s">
        <v>26</v>
      </c>
      <c r="I19" s="4" t="s">
        <v>27</v>
      </c>
      <c r="K19" s="4" t="s">
        <v>22</v>
      </c>
      <c r="L19" s="4"/>
      <c r="M19" s="19"/>
      <c r="N19" s="4"/>
    </row>
    <row r="20" spans="1:14" ht="60" customHeight="1" x14ac:dyDescent="0.35">
      <c r="A20" s="13" t="s">
        <v>103</v>
      </c>
      <c r="B20" s="13" t="s">
        <v>100</v>
      </c>
      <c r="C20" s="13" t="s">
        <v>100</v>
      </c>
      <c r="D20" s="4" t="s">
        <v>100</v>
      </c>
      <c r="E20" s="4" t="s">
        <v>104</v>
      </c>
      <c r="F20" s="4" t="s">
        <v>36</v>
      </c>
      <c r="G20" s="4" t="s">
        <v>54</v>
      </c>
      <c r="H20" s="10" t="s">
        <v>20</v>
      </c>
      <c r="I20" s="10" t="s">
        <v>105</v>
      </c>
      <c r="K20" s="4" t="s">
        <v>22</v>
      </c>
      <c r="L20" s="4"/>
      <c r="M20" s="19"/>
      <c r="N20" s="4"/>
    </row>
    <row r="21" spans="1:14" ht="60" customHeight="1" x14ac:dyDescent="0.35">
      <c r="A21" s="13" t="s">
        <v>106</v>
      </c>
      <c r="B21" s="13" t="s">
        <v>107</v>
      </c>
      <c r="C21" s="4" t="s">
        <v>108</v>
      </c>
      <c r="D21" s="4" t="s">
        <v>108</v>
      </c>
      <c r="E21" s="4" t="s">
        <v>109</v>
      </c>
      <c r="F21" s="4" t="s">
        <v>18</v>
      </c>
      <c r="G21" s="4" t="s">
        <v>19</v>
      </c>
      <c r="H21" s="4" t="s">
        <v>26</v>
      </c>
      <c r="I21" s="4" t="s">
        <v>27</v>
      </c>
      <c r="K21" s="4" t="s">
        <v>22</v>
      </c>
      <c r="L21" s="4"/>
      <c r="M21" s="11"/>
      <c r="N21" s="4"/>
    </row>
    <row r="22" spans="1:14" ht="60" customHeight="1" x14ac:dyDescent="0.35">
      <c r="A22" s="13" t="s">
        <v>110</v>
      </c>
      <c r="B22" s="13" t="s">
        <v>107</v>
      </c>
      <c r="C22" s="4" t="s">
        <v>366</v>
      </c>
      <c r="D22" s="4" t="s">
        <v>111</v>
      </c>
      <c r="E22" s="4" t="s">
        <v>112</v>
      </c>
      <c r="F22" s="4" t="s">
        <v>18</v>
      </c>
      <c r="G22" s="4" t="s">
        <v>19</v>
      </c>
      <c r="H22" s="10" t="s">
        <v>26</v>
      </c>
      <c r="I22" s="10" t="s">
        <v>27</v>
      </c>
      <c r="K22" s="4" t="s">
        <v>22</v>
      </c>
      <c r="L22" s="4"/>
      <c r="M22" s="19"/>
      <c r="N22" s="4"/>
    </row>
    <row r="23" spans="1:14" ht="60" customHeight="1" x14ac:dyDescent="0.35">
      <c r="A23" s="13" t="s">
        <v>113</v>
      </c>
      <c r="B23" s="13" t="s">
        <v>107</v>
      </c>
      <c r="C23" s="13" t="s">
        <v>367</v>
      </c>
      <c r="D23" s="4" t="s">
        <v>114</v>
      </c>
      <c r="E23" s="4" t="s">
        <v>115</v>
      </c>
      <c r="F23" s="4" t="s">
        <v>36</v>
      </c>
      <c r="G23" s="4" t="s">
        <v>54</v>
      </c>
      <c r="H23" s="10" t="s">
        <v>20</v>
      </c>
      <c r="I23" s="10" t="s">
        <v>116</v>
      </c>
      <c r="K23" s="4" t="s">
        <v>22</v>
      </c>
      <c r="L23" s="4"/>
      <c r="M23" s="19"/>
      <c r="N23" s="4"/>
    </row>
    <row r="24" spans="1:14" ht="60" customHeight="1" x14ac:dyDescent="0.35">
      <c r="A24" s="13" t="s">
        <v>117</v>
      </c>
      <c r="B24" s="13" t="s">
        <v>107</v>
      </c>
      <c r="C24" s="13" t="s">
        <v>368</v>
      </c>
      <c r="D24" s="4" t="s">
        <v>118</v>
      </c>
      <c r="E24" s="4" t="s">
        <v>119</v>
      </c>
      <c r="F24" s="4" t="s">
        <v>36</v>
      </c>
      <c r="G24" s="4" t="s">
        <v>54</v>
      </c>
      <c r="H24" s="10" t="s">
        <v>20</v>
      </c>
      <c r="I24" s="10" t="s">
        <v>120</v>
      </c>
      <c r="K24" s="4" t="s">
        <v>22</v>
      </c>
      <c r="L24" s="4"/>
      <c r="M24" s="19"/>
      <c r="N24" s="4"/>
    </row>
    <row r="25" spans="1:14" ht="60" customHeight="1" x14ac:dyDescent="0.35">
      <c r="A25" s="13" t="s">
        <v>121</v>
      </c>
      <c r="B25" s="13" t="s">
        <v>107</v>
      </c>
      <c r="C25" s="13" t="s">
        <v>369</v>
      </c>
      <c r="D25" s="4" t="s">
        <v>122</v>
      </c>
      <c r="E25" s="4" t="s">
        <v>123</v>
      </c>
      <c r="F25" s="4" t="s">
        <v>36</v>
      </c>
      <c r="G25" s="4" t="s">
        <v>54</v>
      </c>
      <c r="H25" s="10" t="s">
        <v>20</v>
      </c>
      <c r="I25" s="10" t="s">
        <v>124</v>
      </c>
      <c r="K25" s="4" t="s">
        <v>22</v>
      </c>
      <c r="L25" s="4"/>
      <c r="M25" s="11"/>
      <c r="N25" s="4"/>
    </row>
    <row r="26" spans="1:14" ht="60" customHeight="1" x14ac:dyDescent="0.35">
      <c r="A26" s="13" t="s">
        <v>125</v>
      </c>
      <c r="B26" s="13" t="s">
        <v>126</v>
      </c>
      <c r="C26" s="4" t="s">
        <v>371</v>
      </c>
      <c r="D26" s="4" t="s">
        <v>127</v>
      </c>
      <c r="E26" s="4" t="s">
        <v>128</v>
      </c>
      <c r="F26" s="4" t="s">
        <v>18</v>
      </c>
      <c r="G26" s="4" t="s">
        <v>19</v>
      </c>
      <c r="H26" s="10" t="s">
        <v>26</v>
      </c>
      <c r="I26" s="10" t="s">
        <v>27</v>
      </c>
      <c r="K26" s="4" t="s">
        <v>22</v>
      </c>
      <c r="L26" s="4"/>
      <c r="M26" s="19"/>
      <c r="N26" s="4"/>
    </row>
    <row r="27" spans="1:14" ht="60" customHeight="1" x14ac:dyDescent="0.35">
      <c r="A27" s="13" t="s">
        <v>129</v>
      </c>
      <c r="B27" s="13" t="s">
        <v>126</v>
      </c>
      <c r="C27" s="4" t="s">
        <v>370</v>
      </c>
      <c r="D27" s="4" t="s">
        <v>130</v>
      </c>
      <c r="E27" s="4" t="s">
        <v>131</v>
      </c>
      <c r="F27" s="4" t="s">
        <v>18</v>
      </c>
      <c r="G27" s="4" t="s">
        <v>19</v>
      </c>
      <c r="H27" s="10" t="s">
        <v>26</v>
      </c>
      <c r="I27" s="10" t="s">
        <v>27</v>
      </c>
      <c r="K27" s="4" t="s">
        <v>22</v>
      </c>
      <c r="L27" s="4"/>
      <c r="M27" s="19"/>
      <c r="N27" s="4"/>
    </row>
    <row r="28" spans="1:14" ht="60" customHeight="1" x14ac:dyDescent="0.35">
      <c r="A28" s="13" t="s">
        <v>132</v>
      </c>
      <c r="B28" s="13" t="s">
        <v>126</v>
      </c>
      <c r="C28" s="13" t="s">
        <v>372</v>
      </c>
      <c r="D28" s="4" t="s">
        <v>133</v>
      </c>
      <c r="E28" s="4" t="s">
        <v>134</v>
      </c>
      <c r="F28" s="4" t="s">
        <v>18</v>
      </c>
      <c r="G28" s="4" t="s">
        <v>19</v>
      </c>
      <c r="H28" s="10" t="s">
        <v>20</v>
      </c>
      <c r="I28" s="10" t="s">
        <v>135</v>
      </c>
      <c r="K28" s="4" t="s">
        <v>22</v>
      </c>
      <c r="L28" s="4"/>
      <c r="M28" s="11"/>
      <c r="N28" s="4"/>
    </row>
    <row r="29" spans="1:14" ht="60" customHeight="1" x14ac:dyDescent="0.35">
      <c r="A29" s="13" t="s">
        <v>136</v>
      </c>
      <c r="B29" s="13" t="s">
        <v>126</v>
      </c>
      <c r="C29" s="13" t="s">
        <v>374</v>
      </c>
      <c r="D29" s="4" t="s">
        <v>137</v>
      </c>
      <c r="E29" s="4" t="s">
        <v>138</v>
      </c>
      <c r="F29" s="4" t="s">
        <v>18</v>
      </c>
      <c r="G29" s="4" t="s">
        <v>19</v>
      </c>
      <c r="H29" s="10" t="s">
        <v>20</v>
      </c>
      <c r="I29" s="10" t="s">
        <v>139</v>
      </c>
      <c r="K29" s="4" t="s">
        <v>22</v>
      </c>
      <c r="L29" s="4"/>
      <c r="M29" s="19"/>
      <c r="N29" s="4"/>
    </row>
    <row r="30" spans="1:14" ht="60" customHeight="1" x14ac:dyDescent="0.35">
      <c r="A30" s="13" t="s">
        <v>140</v>
      </c>
      <c r="B30" s="13" t="s">
        <v>141</v>
      </c>
      <c r="C30" s="4" t="s">
        <v>373</v>
      </c>
      <c r="D30" s="4" t="s">
        <v>142</v>
      </c>
      <c r="E30" s="4" t="s">
        <v>143</v>
      </c>
      <c r="F30" s="4" t="s">
        <v>18</v>
      </c>
      <c r="G30" s="4" t="s">
        <v>54</v>
      </c>
      <c r="H30" s="10" t="s">
        <v>26</v>
      </c>
      <c r="I30" s="10" t="s">
        <v>27</v>
      </c>
      <c r="K30" s="4" t="s">
        <v>22</v>
      </c>
      <c r="L30" s="4"/>
      <c r="M30" s="19"/>
      <c r="N30" s="4"/>
    </row>
    <row r="31" spans="1:14" ht="60" customHeight="1" x14ac:dyDescent="0.35">
      <c r="A31" s="13" t="s">
        <v>144</v>
      </c>
      <c r="B31" s="13" t="s">
        <v>141</v>
      </c>
      <c r="C31" s="4" t="s">
        <v>145</v>
      </c>
      <c r="D31" s="4" t="s">
        <v>145</v>
      </c>
      <c r="E31" s="4" t="s">
        <v>146</v>
      </c>
      <c r="F31" s="4" t="s">
        <v>18</v>
      </c>
      <c r="G31" s="4" t="s">
        <v>54</v>
      </c>
      <c r="H31" s="10" t="s">
        <v>26</v>
      </c>
      <c r="I31" s="10" t="s">
        <v>27</v>
      </c>
      <c r="K31" s="4" t="s">
        <v>22</v>
      </c>
      <c r="L31" s="4"/>
      <c r="M31" s="19"/>
      <c r="N31" s="4"/>
    </row>
    <row r="32" spans="1:14" ht="60" customHeight="1" x14ac:dyDescent="0.35">
      <c r="A32" s="13" t="s">
        <v>147</v>
      </c>
      <c r="B32" s="13" t="s">
        <v>148</v>
      </c>
      <c r="C32" s="13" t="s">
        <v>375</v>
      </c>
      <c r="D32" s="4" t="s">
        <v>149</v>
      </c>
      <c r="E32" s="4" t="s">
        <v>150</v>
      </c>
      <c r="F32" s="4" t="s">
        <v>36</v>
      </c>
      <c r="G32" s="4" t="s">
        <v>54</v>
      </c>
      <c r="H32" s="4" t="s">
        <v>20</v>
      </c>
      <c r="I32" s="4" t="s">
        <v>151</v>
      </c>
      <c r="K32" s="4" t="s">
        <v>22</v>
      </c>
      <c r="L32" s="4"/>
      <c r="M32" s="19"/>
      <c r="N32" s="4"/>
    </row>
    <row r="33" spans="1:14" ht="60" customHeight="1" x14ac:dyDescent="0.35">
      <c r="A33" s="13" t="s">
        <v>152</v>
      </c>
      <c r="B33" s="13" t="s">
        <v>148</v>
      </c>
      <c r="C33" s="4" t="s">
        <v>376</v>
      </c>
      <c r="D33" s="4" t="s">
        <v>153</v>
      </c>
      <c r="E33" s="4" t="s">
        <v>154</v>
      </c>
      <c r="F33" s="4" t="s">
        <v>36</v>
      </c>
      <c r="G33" s="4" t="s">
        <v>54</v>
      </c>
      <c r="H33" s="10" t="s">
        <v>20</v>
      </c>
      <c r="I33" s="10" t="s">
        <v>155</v>
      </c>
      <c r="K33" s="4" t="s">
        <v>22</v>
      </c>
      <c r="L33" s="4"/>
      <c r="M33" s="19"/>
      <c r="N33" s="4"/>
    </row>
    <row r="34" spans="1:14" ht="60" customHeight="1" x14ac:dyDescent="0.35">
      <c r="A34" s="13" t="s">
        <v>156</v>
      </c>
      <c r="B34" s="13" t="s">
        <v>148</v>
      </c>
      <c r="C34" s="13" t="s">
        <v>157</v>
      </c>
      <c r="D34" s="4" t="s">
        <v>157</v>
      </c>
      <c r="E34" s="4" t="s">
        <v>158</v>
      </c>
      <c r="F34" s="4" t="s">
        <v>36</v>
      </c>
      <c r="G34" s="4" t="s">
        <v>54</v>
      </c>
      <c r="H34" s="10" t="s">
        <v>26</v>
      </c>
      <c r="I34" s="10" t="s">
        <v>27</v>
      </c>
      <c r="K34" s="4" t="s">
        <v>22</v>
      </c>
      <c r="L34" s="4"/>
      <c r="M34" s="19"/>
      <c r="N34" s="4"/>
    </row>
    <row r="35" spans="1:14" ht="60" customHeight="1" x14ac:dyDescent="0.35">
      <c r="A35" s="13" t="s">
        <v>159</v>
      </c>
      <c r="B35" s="13" t="s">
        <v>148</v>
      </c>
      <c r="C35" s="13" t="s">
        <v>369</v>
      </c>
      <c r="D35" s="4" t="s">
        <v>160</v>
      </c>
      <c r="E35" s="4" t="s">
        <v>161</v>
      </c>
      <c r="F35" s="4" t="s">
        <v>36</v>
      </c>
      <c r="G35" s="4" t="s">
        <v>54</v>
      </c>
      <c r="H35" s="4" t="s">
        <v>20</v>
      </c>
      <c r="I35" s="4" t="s">
        <v>162</v>
      </c>
      <c r="K35" s="4" t="s">
        <v>22</v>
      </c>
      <c r="L35" s="4"/>
      <c r="M35" s="11"/>
      <c r="N35" s="4"/>
    </row>
    <row r="36" spans="1:14" ht="60" customHeight="1" x14ac:dyDescent="0.35">
      <c r="A36" s="13" t="s">
        <v>163</v>
      </c>
      <c r="B36" s="13" t="s">
        <v>148</v>
      </c>
      <c r="C36" s="13" t="s">
        <v>377</v>
      </c>
      <c r="D36" s="4" t="s">
        <v>164</v>
      </c>
      <c r="E36" s="4" t="s">
        <v>165</v>
      </c>
      <c r="F36" s="4" t="s">
        <v>36</v>
      </c>
      <c r="G36" s="4" t="s">
        <v>54</v>
      </c>
      <c r="H36" s="4" t="s">
        <v>26</v>
      </c>
      <c r="I36" s="4" t="s">
        <v>27</v>
      </c>
      <c r="K36" s="4" t="s">
        <v>22</v>
      </c>
      <c r="L36" s="4"/>
      <c r="M36" s="11"/>
      <c r="N36" s="4"/>
    </row>
    <row r="37" spans="1:14" ht="60" customHeight="1" x14ac:dyDescent="0.35">
      <c r="A37" s="13" t="s">
        <v>166</v>
      </c>
      <c r="B37" s="13" t="s">
        <v>148</v>
      </c>
      <c r="C37" s="13" t="s">
        <v>369</v>
      </c>
      <c r="D37" s="4" t="s">
        <v>167</v>
      </c>
      <c r="E37" s="4" t="s">
        <v>168</v>
      </c>
      <c r="F37" s="4" t="s">
        <v>36</v>
      </c>
      <c r="G37" s="4" t="s">
        <v>54</v>
      </c>
      <c r="H37" s="4" t="s">
        <v>20</v>
      </c>
      <c r="I37" s="4" t="s">
        <v>169</v>
      </c>
      <c r="K37" s="4" t="s">
        <v>22</v>
      </c>
      <c r="L37" s="4"/>
      <c r="M37" s="11"/>
      <c r="N37" s="4"/>
    </row>
    <row r="38" spans="1:14" ht="60" customHeight="1" x14ac:dyDescent="0.35">
      <c r="A38" s="13" t="s">
        <v>170</v>
      </c>
      <c r="B38" s="13" t="s">
        <v>148</v>
      </c>
      <c r="C38" s="13" t="s">
        <v>378</v>
      </c>
      <c r="D38" s="4" t="s">
        <v>171</v>
      </c>
      <c r="E38" s="4" t="s">
        <v>172</v>
      </c>
      <c r="F38" s="4" t="s">
        <v>36</v>
      </c>
      <c r="G38" s="4" t="s">
        <v>54</v>
      </c>
      <c r="H38" s="10" t="s">
        <v>26</v>
      </c>
      <c r="I38" s="10" t="s">
        <v>27</v>
      </c>
      <c r="K38" s="4" t="s">
        <v>22</v>
      </c>
      <c r="L38" s="4"/>
      <c r="M38" s="19"/>
      <c r="N38" s="4"/>
    </row>
    <row r="39" spans="1:14" ht="60" customHeight="1" x14ac:dyDescent="0.35">
      <c r="A39" s="13" t="s">
        <v>173</v>
      </c>
      <c r="B39" s="13" t="s">
        <v>148</v>
      </c>
      <c r="C39" s="13" t="s">
        <v>380</v>
      </c>
      <c r="D39" s="4" t="s">
        <v>174</v>
      </c>
      <c r="E39" s="4" t="s">
        <v>175</v>
      </c>
      <c r="F39" s="4" t="s">
        <v>18</v>
      </c>
      <c r="G39" s="4" t="s">
        <v>19</v>
      </c>
      <c r="H39" s="10" t="s">
        <v>26</v>
      </c>
      <c r="I39" s="10" t="s">
        <v>27</v>
      </c>
      <c r="K39" s="4" t="s">
        <v>22</v>
      </c>
      <c r="L39" s="4"/>
      <c r="M39" s="19"/>
      <c r="N39" s="4"/>
    </row>
    <row r="40" spans="1:14" ht="60" customHeight="1" x14ac:dyDescent="0.35">
      <c r="A40" s="13" t="s">
        <v>176</v>
      </c>
      <c r="B40" s="13" t="s">
        <v>148</v>
      </c>
      <c r="C40" s="13" t="s">
        <v>379</v>
      </c>
      <c r="D40" s="4" t="s">
        <v>177</v>
      </c>
      <c r="E40" s="4" t="s">
        <v>178</v>
      </c>
      <c r="F40" s="4" t="s">
        <v>36</v>
      </c>
      <c r="G40" s="4" t="s">
        <v>54</v>
      </c>
      <c r="H40" s="10" t="s">
        <v>26</v>
      </c>
      <c r="I40" s="10" t="s">
        <v>27</v>
      </c>
      <c r="K40" s="4" t="s">
        <v>22</v>
      </c>
      <c r="L40" s="4"/>
      <c r="M40" s="19"/>
      <c r="N40" s="4"/>
    </row>
    <row r="41" spans="1:14" ht="60" customHeight="1" x14ac:dyDescent="0.35">
      <c r="A41" s="13" t="s">
        <v>179</v>
      </c>
      <c r="B41" s="13" t="s">
        <v>148</v>
      </c>
      <c r="C41" s="13" t="s">
        <v>180</v>
      </c>
      <c r="D41" s="4" t="s">
        <v>180</v>
      </c>
      <c r="E41" s="4" t="s">
        <v>181</v>
      </c>
      <c r="F41" s="4" t="s">
        <v>36</v>
      </c>
      <c r="G41" s="4" t="s">
        <v>54</v>
      </c>
      <c r="H41" s="10" t="s">
        <v>20</v>
      </c>
      <c r="I41" s="10" t="s">
        <v>182</v>
      </c>
      <c r="K41" s="4" t="s">
        <v>22</v>
      </c>
      <c r="L41" s="4"/>
      <c r="M41" s="19"/>
      <c r="N41" s="4"/>
    </row>
    <row r="42" spans="1:14" ht="60" customHeight="1" x14ac:dyDescent="0.35">
      <c r="A42" s="13" t="s">
        <v>183</v>
      </c>
      <c r="B42" s="13" t="s">
        <v>148</v>
      </c>
      <c r="C42" s="13" t="s">
        <v>402</v>
      </c>
      <c r="D42" s="4" t="s">
        <v>184</v>
      </c>
      <c r="E42" s="4" t="s">
        <v>185</v>
      </c>
      <c r="F42" s="4" t="s">
        <v>36</v>
      </c>
      <c r="G42" s="4" t="s">
        <v>19</v>
      </c>
      <c r="H42" s="10" t="s">
        <v>20</v>
      </c>
      <c r="I42" s="10" t="s">
        <v>186</v>
      </c>
      <c r="K42" s="4" t="s">
        <v>22</v>
      </c>
      <c r="L42" s="4"/>
      <c r="M42" s="19"/>
      <c r="N42" s="4"/>
    </row>
    <row r="43" spans="1:14" ht="60" customHeight="1" x14ac:dyDescent="0.35">
      <c r="A43" s="13" t="s">
        <v>187</v>
      </c>
      <c r="B43" s="13" t="s">
        <v>148</v>
      </c>
      <c r="C43" s="4" t="s">
        <v>188</v>
      </c>
      <c r="D43" s="4" t="s">
        <v>188</v>
      </c>
      <c r="E43" s="4" t="s">
        <v>189</v>
      </c>
      <c r="F43" s="4" t="s">
        <v>18</v>
      </c>
      <c r="G43" s="4" t="s">
        <v>19</v>
      </c>
      <c r="H43" s="10" t="s">
        <v>20</v>
      </c>
      <c r="I43" s="4" t="s">
        <v>190</v>
      </c>
      <c r="K43" s="4" t="s">
        <v>22</v>
      </c>
      <c r="L43" s="4"/>
      <c r="M43" s="19"/>
      <c r="N43" s="4"/>
    </row>
    <row r="44" spans="1:14" ht="60" customHeight="1" x14ac:dyDescent="0.35">
      <c r="A44" s="13" t="s">
        <v>191</v>
      </c>
      <c r="B44" s="13" t="s">
        <v>148</v>
      </c>
      <c r="C44" s="4" t="s">
        <v>381</v>
      </c>
      <c r="D44" s="4" t="s">
        <v>192</v>
      </c>
      <c r="E44" s="4" t="s">
        <v>193</v>
      </c>
      <c r="F44" s="4" t="s">
        <v>36</v>
      </c>
      <c r="G44" s="4" t="s">
        <v>54</v>
      </c>
      <c r="H44" s="4" t="s">
        <v>20</v>
      </c>
      <c r="I44" s="10" t="s">
        <v>194</v>
      </c>
      <c r="K44" s="4" t="s">
        <v>22</v>
      </c>
      <c r="L44" s="4"/>
      <c r="M44" s="11"/>
      <c r="N44" s="4"/>
    </row>
    <row r="45" spans="1:14" ht="60" customHeight="1" x14ac:dyDescent="0.35">
      <c r="A45" s="13" t="s">
        <v>195</v>
      </c>
      <c r="B45" s="13" t="s">
        <v>196</v>
      </c>
      <c r="C45" s="4" t="s">
        <v>196</v>
      </c>
      <c r="D45" s="4" t="s">
        <v>196</v>
      </c>
      <c r="E45" s="4" t="s">
        <v>197</v>
      </c>
      <c r="F45" s="4" t="s">
        <v>18</v>
      </c>
      <c r="G45" s="4" t="s">
        <v>19</v>
      </c>
      <c r="H45" s="4" t="s">
        <v>20</v>
      </c>
      <c r="I45" s="10" t="s">
        <v>198</v>
      </c>
      <c r="K45" s="4" t="s">
        <v>22</v>
      </c>
      <c r="L45" s="4"/>
      <c r="M45" s="19"/>
      <c r="N45" s="4"/>
    </row>
    <row r="46" spans="1:14" ht="60" customHeight="1" x14ac:dyDescent="0.35">
      <c r="A46" s="13" t="s">
        <v>199</v>
      </c>
      <c r="B46" s="13" t="s">
        <v>196</v>
      </c>
      <c r="C46" s="13" t="s">
        <v>399</v>
      </c>
      <c r="D46" s="4" t="s">
        <v>200</v>
      </c>
      <c r="E46" s="4" t="s">
        <v>201</v>
      </c>
      <c r="F46" s="4" t="s">
        <v>18</v>
      </c>
      <c r="G46" s="4" t="s">
        <v>19</v>
      </c>
      <c r="H46" s="4" t="s">
        <v>20</v>
      </c>
      <c r="I46" s="10" t="s">
        <v>202</v>
      </c>
      <c r="K46" s="4" t="s">
        <v>22</v>
      </c>
      <c r="L46" s="4"/>
      <c r="M46" s="19"/>
      <c r="N46" s="4"/>
    </row>
    <row r="47" spans="1:14" ht="60" customHeight="1" x14ac:dyDescent="0.35">
      <c r="A47" s="13" t="s">
        <v>203</v>
      </c>
      <c r="B47" s="13" t="s">
        <v>196</v>
      </c>
      <c r="C47" s="4" t="s">
        <v>401</v>
      </c>
      <c r="D47" s="4" t="s">
        <v>204</v>
      </c>
      <c r="E47" s="4" t="s">
        <v>205</v>
      </c>
      <c r="F47" s="4" t="s">
        <v>18</v>
      </c>
      <c r="G47" s="4" t="s">
        <v>54</v>
      </c>
      <c r="H47" s="4" t="s">
        <v>20</v>
      </c>
      <c r="I47" s="10" t="s">
        <v>206</v>
      </c>
      <c r="K47" s="4" t="s">
        <v>22</v>
      </c>
      <c r="L47" s="4"/>
      <c r="M47" s="19"/>
      <c r="N47" s="4"/>
    </row>
    <row r="48" spans="1:14" ht="60" customHeight="1" x14ac:dyDescent="0.35">
      <c r="A48" s="13" t="s">
        <v>207</v>
      </c>
      <c r="B48" s="13" t="s">
        <v>196</v>
      </c>
      <c r="C48" s="4" t="s">
        <v>400</v>
      </c>
      <c r="D48" s="4" t="s">
        <v>208</v>
      </c>
      <c r="E48" s="4" t="s">
        <v>209</v>
      </c>
      <c r="F48" s="4" t="s">
        <v>18</v>
      </c>
      <c r="G48" s="4" t="s">
        <v>54</v>
      </c>
      <c r="H48" s="4" t="s">
        <v>20</v>
      </c>
      <c r="I48" s="10" t="s">
        <v>210</v>
      </c>
      <c r="K48" s="4" t="s">
        <v>22</v>
      </c>
      <c r="L48" s="4"/>
      <c r="M48" s="19"/>
      <c r="N48" s="4"/>
    </row>
    <row r="49" spans="1:14" ht="60" customHeight="1" x14ac:dyDescent="0.35">
      <c r="A49" s="13" t="s">
        <v>211</v>
      </c>
      <c r="B49" s="13" t="s">
        <v>196</v>
      </c>
      <c r="C49" s="13" t="s">
        <v>403</v>
      </c>
      <c r="D49" s="4" t="s">
        <v>212</v>
      </c>
      <c r="E49" s="4" t="s">
        <v>213</v>
      </c>
      <c r="F49" s="4" t="s">
        <v>18</v>
      </c>
      <c r="G49" s="4" t="s">
        <v>19</v>
      </c>
      <c r="H49" s="4" t="s">
        <v>20</v>
      </c>
      <c r="I49" s="10" t="s">
        <v>214</v>
      </c>
      <c r="K49" s="4" t="s">
        <v>22</v>
      </c>
      <c r="L49" s="4"/>
      <c r="M49" s="19"/>
      <c r="N49" s="4"/>
    </row>
    <row r="50" spans="1:14" ht="60" customHeight="1" x14ac:dyDescent="0.35">
      <c r="A50" s="13" t="s">
        <v>215</v>
      </c>
      <c r="B50" s="13" t="s">
        <v>216</v>
      </c>
      <c r="C50" s="4" t="s">
        <v>382</v>
      </c>
      <c r="D50" s="4" t="s">
        <v>217</v>
      </c>
      <c r="E50" s="4" t="s">
        <v>218</v>
      </c>
      <c r="F50" s="4" t="s">
        <v>18</v>
      </c>
      <c r="G50" s="4" t="s">
        <v>19</v>
      </c>
      <c r="H50" s="4" t="s">
        <v>20</v>
      </c>
      <c r="I50" s="10" t="s">
        <v>219</v>
      </c>
      <c r="K50" s="4" t="s">
        <v>22</v>
      </c>
      <c r="L50" s="4"/>
      <c r="M50" s="19"/>
      <c r="N50" s="4"/>
    </row>
    <row r="51" spans="1:14" ht="60" customHeight="1" x14ac:dyDescent="0.35">
      <c r="A51" s="13" t="s">
        <v>220</v>
      </c>
      <c r="B51" s="13" t="s">
        <v>216</v>
      </c>
      <c r="C51" s="4" t="s">
        <v>221</v>
      </c>
      <c r="D51" s="4" t="s">
        <v>221</v>
      </c>
      <c r="E51" s="4" t="s">
        <v>222</v>
      </c>
      <c r="F51" s="4" t="s">
        <v>18</v>
      </c>
      <c r="G51" s="4" t="s">
        <v>54</v>
      </c>
      <c r="H51" s="4" t="s">
        <v>20</v>
      </c>
      <c r="I51" s="10" t="s">
        <v>223</v>
      </c>
      <c r="K51" s="4" t="s">
        <v>22</v>
      </c>
      <c r="L51" s="4"/>
      <c r="M51" s="19"/>
      <c r="N51" s="4"/>
    </row>
    <row r="52" spans="1:14" ht="60" customHeight="1" x14ac:dyDescent="0.35">
      <c r="A52" s="13" t="s">
        <v>224</v>
      </c>
      <c r="B52" s="13" t="s">
        <v>216</v>
      </c>
      <c r="C52" s="4" t="s">
        <v>383</v>
      </c>
      <c r="D52" s="4" t="s">
        <v>225</v>
      </c>
      <c r="E52" s="4" t="s">
        <v>226</v>
      </c>
      <c r="F52" s="4" t="s">
        <v>18</v>
      </c>
      <c r="G52" s="4" t="s">
        <v>54</v>
      </c>
      <c r="H52" s="4" t="s">
        <v>20</v>
      </c>
      <c r="I52" s="10" t="s">
        <v>227</v>
      </c>
      <c r="K52" s="4" t="s">
        <v>22</v>
      </c>
      <c r="L52" s="4"/>
      <c r="M52" s="19"/>
      <c r="N52" s="4"/>
    </row>
    <row r="53" spans="1:14" ht="60" customHeight="1" x14ac:dyDescent="0.35">
      <c r="A53" s="13" t="s">
        <v>228</v>
      </c>
      <c r="B53" s="13" t="s">
        <v>216</v>
      </c>
      <c r="C53" s="13" t="s">
        <v>404</v>
      </c>
      <c r="D53" s="4" t="s">
        <v>229</v>
      </c>
      <c r="E53" s="4" t="s">
        <v>230</v>
      </c>
      <c r="F53" s="4" t="s">
        <v>18</v>
      </c>
      <c r="G53" s="4" t="s">
        <v>54</v>
      </c>
      <c r="H53" s="4" t="s">
        <v>20</v>
      </c>
      <c r="I53" s="10" t="s">
        <v>231</v>
      </c>
      <c r="K53" s="4" t="s">
        <v>22</v>
      </c>
      <c r="L53" s="4"/>
      <c r="M53" s="19"/>
      <c r="N53" s="4"/>
    </row>
    <row r="54" spans="1:14" ht="60" customHeight="1" x14ac:dyDescent="0.35">
      <c r="A54" s="13" t="s">
        <v>232</v>
      </c>
      <c r="B54" s="13" t="s">
        <v>216</v>
      </c>
      <c r="C54" s="4" t="s">
        <v>233</v>
      </c>
      <c r="D54" s="4" t="s">
        <v>233</v>
      </c>
      <c r="E54" s="4" t="s">
        <v>234</v>
      </c>
      <c r="F54" s="4" t="s">
        <v>18</v>
      </c>
      <c r="G54" s="4" t="s">
        <v>54</v>
      </c>
      <c r="H54" s="4" t="s">
        <v>20</v>
      </c>
      <c r="I54" s="10" t="s">
        <v>235</v>
      </c>
      <c r="K54" s="4" t="s">
        <v>22</v>
      </c>
      <c r="L54" s="4"/>
      <c r="M54" s="19"/>
      <c r="N54" s="4"/>
    </row>
    <row r="55" spans="1:14" ht="60" customHeight="1" x14ac:dyDescent="0.35">
      <c r="A55" s="13" t="s">
        <v>236</v>
      </c>
      <c r="B55" s="13" t="s">
        <v>216</v>
      </c>
      <c r="C55" s="4" t="s">
        <v>384</v>
      </c>
      <c r="D55" s="4" t="s">
        <v>237</v>
      </c>
      <c r="E55" s="4" t="s">
        <v>238</v>
      </c>
      <c r="F55" s="4" t="s">
        <v>18</v>
      </c>
      <c r="G55" s="4" t="s">
        <v>19</v>
      </c>
      <c r="H55" s="4" t="s">
        <v>20</v>
      </c>
      <c r="I55" s="10" t="s">
        <v>239</v>
      </c>
      <c r="K55" s="4" t="s">
        <v>22</v>
      </c>
      <c r="L55" s="4"/>
      <c r="M55" s="19"/>
      <c r="N55" s="4"/>
    </row>
    <row r="56" spans="1:14" ht="60" customHeight="1" x14ac:dyDescent="0.35">
      <c r="A56" s="13" t="s">
        <v>240</v>
      </c>
      <c r="B56" s="13" t="s">
        <v>216</v>
      </c>
      <c r="C56" s="4" t="s">
        <v>241</v>
      </c>
      <c r="D56" s="4" t="s">
        <v>241</v>
      </c>
      <c r="E56" s="4" t="s">
        <v>242</v>
      </c>
      <c r="F56" s="4" t="s">
        <v>36</v>
      </c>
      <c r="G56" s="4" t="s">
        <v>54</v>
      </c>
      <c r="H56" s="4" t="s">
        <v>20</v>
      </c>
      <c r="I56" s="10" t="s">
        <v>243</v>
      </c>
      <c r="K56" s="4" t="s">
        <v>22</v>
      </c>
      <c r="L56" s="4"/>
      <c r="M56" s="19"/>
      <c r="N56" s="4"/>
    </row>
    <row r="57" spans="1:14" ht="60" customHeight="1" x14ac:dyDescent="0.35">
      <c r="A57" s="13" t="s">
        <v>244</v>
      </c>
      <c r="B57" s="13" t="s">
        <v>216</v>
      </c>
      <c r="C57" s="4" t="s">
        <v>245</v>
      </c>
      <c r="D57" s="4" t="s">
        <v>245</v>
      </c>
      <c r="E57" s="4" t="s">
        <v>246</v>
      </c>
      <c r="F57" s="4" t="s">
        <v>18</v>
      </c>
      <c r="G57" s="4" t="s">
        <v>19</v>
      </c>
      <c r="H57" s="4" t="s">
        <v>20</v>
      </c>
      <c r="I57" s="10" t="s">
        <v>247</v>
      </c>
      <c r="K57" s="4" t="s">
        <v>22</v>
      </c>
      <c r="L57" s="4"/>
      <c r="M57" s="19"/>
      <c r="N57" s="4"/>
    </row>
    <row r="58" spans="1:14" ht="60" customHeight="1" x14ac:dyDescent="0.35">
      <c r="A58" s="13" t="s">
        <v>248</v>
      </c>
      <c r="B58" s="13" t="s">
        <v>216</v>
      </c>
      <c r="C58" s="4" t="s">
        <v>410</v>
      </c>
      <c r="D58" s="4" t="s">
        <v>249</v>
      </c>
      <c r="E58" s="4" t="s">
        <v>250</v>
      </c>
      <c r="F58" s="4" t="s">
        <v>18</v>
      </c>
      <c r="G58" s="4" t="s">
        <v>19</v>
      </c>
      <c r="H58" s="4" t="s">
        <v>20</v>
      </c>
      <c r="I58" s="10" t="s">
        <v>251</v>
      </c>
      <c r="K58" s="4" t="s">
        <v>22</v>
      </c>
      <c r="L58" s="4"/>
      <c r="M58" s="19"/>
      <c r="N58" s="4"/>
    </row>
    <row r="59" spans="1:14" ht="60" customHeight="1" x14ac:dyDescent="0.35">
      <c r="A59" s="13" t="s">
        <v>252</v>
      </c>
      <c r="B59" s="13" t="s">
        <v>216</v>
      </c>
      <c r="C59" s="13" t="s">
        <v>409</v>
      </c>
      <c r="D59" s="4" t="s">
        <v>253</v>
      </c>
      <c r="E59" s="4" t="s">
        <v>254</v>
      </c>
      <c r="F59" s="4" t="s">
        <v>18</v>
      </c>
      <c r="G59" s="4" t="s">
        <v>19</v>
      </c>
      <c r="H59" s="4" t="s">
        <v>20</v>
      </c>
      <c r="I59" s="10" t="s">
        <v>255</v>
      </c>
      <c r="K59" s="4" t="s">
        <v>22</v>
      </c>
      <c r="L59" s="4"/>
      <c r="M59" s="19"/>
      <c r="N59" s="4"/>
    </row>
    <row r="60" spans="1:14" ht="60" customHeight="1" x14ac:dyDescent="0.35">
      <c r="A60" s="13" t="s">
        <v>256</v>
      </c>
      <c r="B60" s="13" t="s">
        <v>257</v>
      </c>
      <c r="C60" s="4" t="s">
        <v>385</v>
      </c>
      <c r="D60" s="4" t="s">
        <v>258</v>
      </c>
      <c r="E60" s="4" t="s">
        <v>259</v>
      </c>
      <c r="F60" s="4" t="s">
        <v>36</v>
      </c>
      <c r="G60" s="4" t="s">
        <v>54</v>
      </c>
      <c r="H60" s="10" t="s">
        <v>20</v>
      </c>
      <c r="I60" s="10" t="s">
        <v>260</v>
      </c>
      <c r="K60" s="4" t="s">
        <v>22</v>
      </c>
      <c r="L60" s="4"/>
      <c r="M60" s="19"/>
      <c r="N60" s="4"/>
    </row>
    <row r="61" spans="1:14" ht="60" customHeight="1" x14ac:dyDescent="0.35">
      <c r="A61" s="13" t="s">
        <v>261</v>
      </c>
      <c r="B61" s="13" t="s">
        <v>257</v>
      </c>
      <c r="C61" s="4" t="s">
        <v>408</v>
      </c>
      <c r="D61" s="4" t="s">
        <v>262</v>
      </c>
      <c r="E61" s="4" t="s">
        <v>263</v>
      </c>
      <c r="F61" s="4" t="s">
        <v>18</v>
      </c>
      <c r="G61" s="4" t="s">
        <v>19</v>
      </c>
      <c r="H61" s="10" t="s">
        <v>20</v>
      </c>
      <c r="I61" s="10" t="s">
        <v>264</v>
      </c>
      <c r="K61" s="4" t="s">
        <v>22</v>
      </c>
      <c r="L61" s="4"/>
      <c r="M61" s="19"/>
      <c r="N61" s="4"/>
    </row>
    <row r="62" spans="1:14" ht="60" customHeight="1" x14ac:dyDescent="0.35">
      <c r="A62" s="13" t="s">
        <v>265</v>
      </c>
      <c r="B62" s="13" t="s">
        <v>266</v>
      </c>
      <c r="C62" s="4" t="s">
        <v>386</v>
      </c>
      <c r="D62" s="4" t="s">
        <v>267</v>
      </c>
      <c r="E62" s="4" t="s">
        <v>268</v>
      </c>
      <c r="F62" s="4" t="s">
        <v>18</v>
      </c>
      <c r="G62" s="4" t="s">
        <v>54</v>
      </c>
      <c r="H62" s="10" t="s">
        <v>20</v>
      </c>
      <c r="I62" s="10" t="s">
        <v>269</v>
      </c>
      <c r="K62" s="4" t="s">
        <v>22</v>
      </c>
      <c r="L62" s="4"/>
      <c r="M62" s="19"/>
      <c r="N62" s="4"/>
    </row>
    <row r="63" spans="1:14" ht="60" customHeight="1" x14ac:dyDescent="0.35">
      <c r="A63" s="13" t="s">
        <v>270</v>
      </c>
      <c r="B63" s="13" t="s">
        <v>266</v>
      </c>
      <c r="C63" s="13" t="s">
        <v>407</v>
      </c>
      <c r="D63" s="4" t="s">
        <v>271</v>
      </c>
      <c r="E63" s="4" t="s">
        <v>272</v>
      </c>
      <c r="F63" s="4" t="s">
        <v>18</v>
      </c>
      <c r="G63" s="4" t="s">
        <v>19</v>
      </c>
      <c r="H63" s="10" t="s">
        <v>20</v>
      </c>
      <c r="I63" s="10" t="s">
        <v>273</v>
      </c>
      <c r="K63" s="4" t="s">
        <v>22</v>
      </c>
      <c r="L63" s="4"/>
      <c r="M63" s="19"/>
      <c r="N63" s="4"/>
    </row>
    <row r="64" spans="1:14" ht="60" customHeight="1" x14ac:dyDescent="0.35">
      <c r="A64" s="14" t="s">
        <v>274</v>
      </c>
      <c r="B64" s="13" t="s">
        <v>266</v>
      </c>
      <c r="C64" s="4" t="s">
        <v>406</v>
      </c>
      <c r="D64" s="4" t="s">
        <v>275</v>
      </c>
      <c r="E64" s="4" t="s">
        <v>276</v>
      </c>
      <c r="F64" s="4" t="s">
        <v>36</v>
      </c>
      <c r="G64" s="4" t="s">
        <v>54</v>
      </c>
      <c r="H64" s="10" t="s">
        <v>26</v>
      </c>
      <c r="I64" s="10" t="s">
        <v>27</v>
      </c>
      <c r="K64" s="4" t="s">
        <v>22</v>
      </c>
      <c r="L64" s="4"/>
      <c r="M64" s="11"/>
      <c r="N64" s="4"/>
    </row>
    <row r="65" spans="1:14" ht="60" customHeight="1" x14ac:dyDescent="0.35">
      <c r="A65" s="14" t="s">
        <v>277</v>
      </c>
      <c r="B65" s="13" t="s">
        <v>266</v>
      </c>
      <c r="C65" s="4" t="s">
        <v>405</v>
      </c>
      <c r="D65" s="4" t="s">
        <v>278</v>
      </c>
      <c r="E65" s="4" t="s">
        <v>279</v>
      </c>
      <c r="F65" s="4" t="s">
        <v>18</v>
      </c>
      <c r="G65" s="4" t="s">
        <v>19</v>
      </c>
      <c r="H65" s="10" t="s">
        <v>26</v>
      </c>
      <c r="I65" s="10" t="s">
        <v>27</v>
      </c>
      <c r="K65" s="4" t="s">
        <v>22</v>
      </c>
      <c r="L65" s="4"/>
      <c r="M65" s="19"/>
      <c r="N65" s="4"/>
    </row>
    <row r="66" spans="1:14" ht="60" customHeight="1" x14ac:dyDescent="0.35">
      <c r="A66" s="13" t="s">
        <v>280</v>
      </c>
      <c r="B66" s="13" t="s">
        <v>281</v>
      </c>
      <c r="C66" s="13"/>
      <c r="D66" s="4" t="s">
        <v>282</v>
      </c>
      <c r="E66" s="4" t="s">
        <v>283</v>
      </c>
      <c r="F66" s="4" t="s">
        <v>18</v>
      </c>
      <c r="G66" s="4" t="s">
        <v>19</v>
      </c>
      <c r="H66" s="10" t="s">
        <v>26</v>
      </c>
      <c r="I66" s="4" t="s">
        <v>27</v>
      </c>
      <c r="K66" s="4" t="s">
        <v>22</v>
      </c>
      <c r="L66" s="4"/>
      <c r="M66" s="19"/>
      <c r="N66" s="4"/>
    </row>
    <row r="67" spans="1:14" ht="60" customHeight="1" x14ac:dyDescent="0.35">
      <c r="A67" s="13" t="s">
        <v>284</v>
      </c>
      <c r="B67" s="13" t="s">
        <v>281</v>
      </c>
      <c r="C67" s="4" t="s">
        <v>387</v>
      </c>
      <c r="D67" s="4" t="s">
        <v>285</v>
      </c>
      <c r="E67" s="4" t="s">
        <v>286</v>
      </c>
      <c r="F67" s="4" t="s">
        <v>36</v>
      </c>
      <c r="G67" s="4" t="s">
        <v>54</v>
      </c>
      <c r="H67" s="10" t="s">
        <v>20</v>
      </c>
      <c r="I67" s="10" t="s">
        <v>287</v>
      </c>
      <c r="K67" s="4" t="s">
        <v>22</v>
      </c>
      <c r="L67" s="4"/>
      <c r="M67" s="11"/>
      <c r="N67" s="4"/>
    </row>
    <row r="68" spans="1:14" ht="60" customHeight="1" x14ac:dyDescent="0.35">
      <c r="A68" s="13" t="s">
        <v>288</v>
      </c>
      <c r="B68" s="13" t="s">
        <v>281</v>
      </c>
      <c r="C68" s="13"/>
      <c r="D68" s="4" t="s">
        <v>289</v>
      </c>
      <c r="E68" s="4" t="s">
        <v>290</v>
      </c>
      <c r="F68" s="4" t="s">
        <v>18</v>
      </c>
      <c r="G68" s="4" t="s">
        <v>19</v>
      </c>
      <c r="H68" s="10" t="s">
        <v>20</v>
      </c>
      <c r="I68" s="4" t="s">
        <v>264</v>
      </c>
      <c r="K68" s="4" t="s">
        <v>22</v>
      </c>
      <c r="L68" s="4"/>
      <c r="M68" s="11"/>
      <c r="N68" s="4"/>
    </row>
    <row r="69" spans="1:14" ht="60" customHeight="1" x14ac:dyDescent="0.35">
      <c r="A69" s="13" t="s">
        <v>291</v>
      </c>
      <c r="B69" s="13" t="s">
        <v>281</v>
      </c>
      <c r="C69" s="13" t="s">
        <v>411</v>
      </c>
      <c r="D69" s="4" t="s">
        <v>292</v>
      </c>
      <c r="E69" s="4" t="s">
        <v>293</v>
      </c>
      <c r="F69" s="4" t="s">
        <v>18</v>
      </c>
      <c r="G69" s="4" t="s">
        <v>19</v>
      </c>
      <c r="H69" s="10" t="s">
        <v>20</v>
      </c>
      <c r="I69" s="4" t="s">
        <v>294</v>
      </c>
      <c r="K69" s="4" t="s">
        <v>22</v>
      </c>
      <c r="L69" s="4"/>
      <c r="M69" s="11"/>
      <c r="N69" s="4"/>
    </row>
    <row r="70" spans="1:14" ht="60" customHeight="1" x14ac:dyDescent="0.35">
      <c r="A70" s="13" t="s">
        <v>295</v>
      </c>
      <c r="B70" s="13" t="s">
        <v>281</v>
      </c>
      <c r="C70" s="4" t="s">
        <v>388</v>
      </c>
      <c r="D70" s="4" t="s">
        <v>296</v>
      </c>
      <c r="E70" s="4" t="s">
        <v>297</v>
      </c>
      <c r="F70" s="4" t="s">
        <v>36</v>
      </c>
      <c r="G70" s="4" t="s">
        <v>54</v>
      </c>
      <c r="H70" s="4" t="s">
        <v>20</v>
      </c>
      <c r="I70" s="4" t="s">
        <v>298</v>
      </c>
      <c r="K70" s="4" t="s">
        <v>22</v>
      </c>
      <c r="L70" s="4"/>
      <c r="M70" s="11"/>
      <c r="N70" s="4"/>
    </row>
    <row r="71" spans="1:14" ht="60" customHeight="1" x14ac:dyDescent="0.35">
      <c r="A71" s="13" t="s">
        <v>299</v>
      </c>
      <c r="B71" s="13" t="s">
        <v>281</v>
      </c>
      <c r="C71" s="13"/>
      <c r="D71" s="4" t="s">
        <v>300</v>
      </c>
      <c r="E71" s="4" t="s">
        <v>301</v>
      </c>
      <c r="F71" s="4" t="s">
        <v>18</v>
      </c>
      <c r="G71" s="4" t="s">
        <v>19</v>
      </c>
      <c r="H71" s="4" t="s">
        <v>20</v>
      </c>
      <c r="I71" s="4" t="s">
        <v>264</v>
      </c>
      <c r="K71" s="4" t="s">
        <v>22</v>
      </c>
      <c r="L71" s="4"/>
      <c r="M71" s="11"/>
      <c r="N71" s="4"/>
    </row>
    <row r="72" spans="1:14" ht="60" customHeight="1" x14ac:dyDescent="0.35">
      <c r="A72" s="13" t="s">
        <v>302</v>
      </c>
      <c r="B72" s="13" t="s">
        <v>281</v>
      </c>
      <c r="C72" s="13" t="s">
        <v>412</v>
      </c>
      <c r="D72" s="4" t="s">
        <v>303</v>
      </c>
      <c r="E72" s="4" t="s">
        <v>304</v>
      </c>
      <c r="F72" s="4" t="s">
        <v>18</v>
      </c>
      <c r="G72" s="4" t="s">
        <v>19</v>
      </c>
      <c r="H72" s="4" t="s">
        <v>20</v>
      </c>
      <c r="I72" s="4" t="s">
        <v>305</v>
      </c>
      <c r="K72" s="4" t="s">
        <v>22</v>
      </c>
      <c r="L72" s="4"/>
      <c r="M72" s="11"/>
      <c r="N72" s="4"/>
    </row>
    <row r="73" spans="1:14" ht="60" customHeight="1" x14ac:dyDescent="0.35">
      <c r="A73" s="13" t="s">
        <v>306</v>
      </c>
      <c r="B73" s="13" t="s">
        <v>281</v>
      </c>
      <c r="C73" s="4" t="s">
        <v>389</v>
      </c>
      <c r="D73" s="4" t="s">
        <v>307</v>
      </c>
      <c r="E73" s="4" t="s">
        <v>308</v>
      </c>
      <c r="F73" s="4" t="s">
        <v>18</v>
      </c>
      <c r="G73" s="4" t="s">
        <v>19</v>
      </c>
      <c r="H73" s="4" t="s">
        <v>20</v>
      </c>
      <c r="I73" s="4" t="s">
        <v>309</v>
      </c>
      <c r="K73" s="4" t="s">
        <v>22</v>
      </c>
      <c r="L73" s="4"/>
      <c r="M73" s="11"/>
      <c r="N73" s="4"/>
    </row>
    <row r="74" spans="1:14" ht="60" customHeight="1" x14ac:dyDescent="0.35">
      <c r="A74" s="13" t="s">
        <v>310</v>
      </c>
      <c r="B74" s="13" t="s">
        <v>281</v>
      </c>
      <c r="C74" s="13" t="s">
        <v>397</v>
      </c>
      <c r="D74" s="4" t="s">
        <v>311</v>
      </c>
      <c r="E74" s="4" t="s">
        <v>312</v>
      </c>
      <c r="F74" s="4" t="s">
        <v>18</v>
      </c>
      <c r="G74" s="4" t="s">
        <v>19</v>
      </c>
      <c r="H74" s="4" t="s">
        <v>26</v>
      </c>
      <c r="I74" s="4" t="s">
        <v>27</v>
      </c>
      <c r="K74" s="4" t="s">
        <v>22</v>
      </c>
      <c r="L74" s="4"/>
      <c r="M74" s="19"/>
      <c r="N74" s="4"/>
    </row>
    <row r="75" spans="1:14" ht="60" customHeight="1" x14ac:dyDescent="0.35">
      <c r="A75" s="13" t="s">
        <v>313</v>
      </c>
      <c r="B75" s="13" t="s">
        <v>281</v>
      </c>
      <c r="C75" s="13" t="s">
        <v>390</v>
      </c>
      <c r="D75" s="4" t="s">
        <v>314</v>
      </c>
      <c r="E75" s="4" t="s">
        <v>315</v>
      </c>
      <c r="F75" s="4" t="s">
        <v>36</v>
      </c>
      <c r="G75" s="4" t="s">
        <v>54</v>
      </c>
      <c r="H75" s="10" t="s">
        <v>26</v>
      </c>
      <c r="I75" s="10" t="s">
        <v>27</v>
      </c>
      <c r="K75" s="4" t="s">
        <v>22</v>
      </c>
      <c r="L75" s="4"/>
      <c r="M75" s="19"/>
      <c r="N75" s="4"/>
    </row>
    <row r="76" spans="1:14" ht="60" customHeight="1" x14ac:dyDescent="0.35">
      <c r="A76" s="13" t="s">
        <v>316</v>
      </c>
      <c r="B76" s="13" t="s">
        <v>281</v>
      </c>
      <c r="C76" s="13" t="s">
        <v>398</v>
      </c>
      <c r="D76" s="4" t="s">
        <v>317</v>
      </c>
      <c r="E76" s="4" t="s">
        <v>318</v>
      </c>
      <c r="F76" s="4" t="s">
        <v>36</v>
      </c>
      <c r="G76" s="4" t="s">
        <v>54</v>
      </c>
      <c r="H76" s="4" t="s">
        <v>20</v>
      </c>
      <c r="I76" s="4" t="s">
        <v>319</v>
      </c>
      <c r="K76" s="4" t="s">
        <v>22</v>
      </c>
      <c r="L76" s="4"/>
      <c r="M76" s="19"/>
      <c r="N76" s="4"/>
    </row>
    <row r="77" spans="1:14" ht="60" customHeight="1" x14ac:dyDescent="0.35">
      <c r="A77" s="13" t="s">
        <v>320</v>
      </c>
      <c r="B77" s="13" t="s">
        <v>281</v>
      </c>
      <c r="C77" s="13"/>
      <c r="D77" s="4" t="s">
        <v>321</v>
      </c>
      <c r="E77" s="4" t="s">
        <v>322</v>
      </c>
      <c r="F77" s="4" t="s">
        <v>36</v>
      </c>
      <c r="G77" s="4" t="s">
        <v>54</v>
      </c>
      <c r="H77" s="10" t="s">
        <v>26</v>
      </c>
      <c r="I77" s="10" t="s">
        <v>27</v>
      </c>
      <c r="K77" s="4" t="s">
        <v>22</v>
      </c>
      <c r="L77" s="4"/>
      <c r="M77" s="19"/>
      <c r="N77" s="4"/>
    </row>
    <row r="78" spans="1:14" ht="60" customHeight="1" x14ac:dyDescent="0.35">
      <c r="A78" s="13" t="s">
        <v>323</v>
      </c>
      <c r="B78" s="13" t="s">
        <v>281</v>
      </c>
      <c r="C78" s="13"/>
      <c r="D78" s="4" t="s">
        <v>324</v>
      </c>
      <c r="E78" s="4" t="s">
        <v>325</v>
      </c>
      <c r="F78" s="4" t="s">
        <v>36</v>
      </c>
      <c r="G78" s="4" t="s">
        <v>54</v>
      </c>
      <c r="H78" s="10" t="s">
        <v>20</v>
      </c>
      <c r="I78" s="10" t="s">
        <v>326</v>
      </c>
      <c r="K78" s="4" t="s">
        <v>22</v>
      </c>
      <c r="L78" s="4"/>
      <c r="M78" s="19"/>
      <c r="N78" s="4"/>
    </row>
    <row r="79" spans="1:14" ht="60" customHeight="1" x14ac:dyDescent="0.35">
      <c r="A79" s="13" t="s">
        <v>327</v>
      </c>
      <c r="B79" s="13" t="s">
        <v>328</v>
      </c>
      <c r="C79" s="13"/>
      <c r="D79" s="4" t="s">
        <v>329</v>
      </c>
      <c r="E79" s="4" t="s">
        <v>330</v>
      </c>
      <c r="F79" s="4" t="s">
        <v>18</v>
      </c>
      <c r="G79" s="4" t="s">
        <v>19</v>
      </c>
      <c r="H79" s="10" t="s">
        <v>26</v>
      </c>
      <c r="I79" s="10" t="s">
        <v>27</v>
      </c>
      <c r="K79" s="4" t="s">
        <v>22</v>
      </c>
      <c r="L79" s="4"/>
      <c r="M79" s="19"/>
      <c r="N79" s="4"/>
    </row>
    <row r="80" spans="1:14" ht="60" customHeight="1" x14ac:dyDescent="0.35">
      <c r="A80" s="13" t="s">
        <v>331</v>
      </c>
      <c r="B80" s="13" t="s">
        <v>328</v>
      </c>
      <c r="C80" s="13" t="s">
        <v>391</v>
      </c>
      <c r="D80" s="4" t="s">
        <v>332</v>
      </c>
      <c r="E80" s="4" t="s">
        <v>333</v>
      </c>
      <c r="F80" s="4" t="s">
        <v>18</v>
      </c>
      <c r="G80" s="4" t="s">
        <v>19</v>
      </c>
      <c r="H80" s="10" t="s">
        <v>20</v>
      </c>
      <c r="I80" s="10" t="s">
        <v>334</v>
      </c>
      <c r="K80" s="4" t="s">
        <v>22</v>
      </c>
      <c r="L80" s="4"/>
      <c r="M80" s="19"/>
      <c r="N80" s="4"/>
    </row>
    <row r="81" spans="1:14" ht="60" customHeight="1" x14ac:dyDescent="0.35">
      <c r="A81" s="13" t="s">
        <v>335</v>
      </c>
      <c r="B81" s="13" t="s">
        <v>336</v>
      </c>
      <c r="C81" s="13" t="s">
        <v>392</v>
      </c>
      <c r="D81" s="4" t="s">
        <v>337</v>
      </c>
      <c r="E81" s="4" t="s">
        <v>338</v>
      </c>
      <c r="F81" s="4" t="s">
        <v>36</v>
      </c>
      <c r="G81" s="4" t="s">
        <v>54</v>
      </c>
      <c r="H81" s="10" t="s">
        <v>20</v>
      </c>
      <c r="I81" s="10" t="s">
        <v>339</v>
      </c>
      <c r="K81" s="4" t="s">
        <v>22</v>
      </c>
      <c r="L81" s="4"/>
      <c r="M81" s="19"/>
      <c r="N81" s="4"/>
    </row>
    <row r="82" spans="1:14" ht="60" customHeight="1" x14ac:dyDescent="0.35">
      <c r="A82" s="13" t="s">
        <v>340</v>
      </c>
      <c r="B82" s="13" t="s">
        <v>336</v>
      </c>
      <c r="C82" s="13" t="s">
        <v>393</v>
      </c>
      <c r="D82" s="4" t="s">
        <v>341</v>
      </c>
      <c r="E82" s="4" t="s">
        <v>342</v>
      </c>
      <c r="F82" s="4" t="s">
        <v>18</v>
      </c>
      <c r="G82" s="4" t="s">
        <v>19</v>
      </c>
      <c r="H82" s="10" t="s">
        <v>20</v>
      </c>
      <c r="I82" s="10" t="s">
        <v>21</v>
      </c>
      <c r="K82" s="4" t="s">
        <v>22</v>
      </c>
      <c r="L82" s="4"/>
      <c r="M82" s="11"/>
      <c r="N82" s="4"/>
    </row>
    <row r="83" spans="1:14" ht="60" customHeight="1" x14ac:dyDescent="0.35">
      <c r="A83" s="13" t="s">
        <v>343</v>
      </c>
      <c r="B83" s="13" t="s">
        <v>336</v>
      </c>
      <c r="C83" s="13" t="s">
        <v>396</v>
      </c>
      <c r="D83" s="4" t="s">
        <v>344</v>
      </c>
      <c r="E83" s="4" t="s">
        <v>345</v>
      </c>
      <c r="F83" s="4" t="s">
        <v>36</v>
      </c>
      <c r="G83" s="4" t="s">
        <v>54</v>
      </c>
      <c r="H83" s="4" t="s">
        <v>20</v>
      </c>
      <c r="I83" s="10" t="s">
        <v>346</v>
      </c>
      <c r="K83" s="4" t="s">
        <v>22</v>
      </c>
      <c r="L83" s="4"/>
      <c r="M83" s="11"/>
      <c r="N83" s="4"/>
    </row>
    <row r="84" spans="1:14" ht="60" customHeight="1" x14ac:dyDescent="0.35">
      <c r="A84" s="13" t="s">
        <v>347</v>
      </c>
      <c r="B84" s="13" t="s">
        <v>336</v>
      </c>
      <c r="C84" s="13" t="s">
        <v>394</v>
      </c>
      <c r="D84" s="4" t="s">
        <v>348</v>
      </c>
      <c r="E84" s="4" t="s">
        <v>349</v>
      </c>
      <c r="F84" s="4" t="s">
        <v>36</v>
      </c>
      <c r="G84" s="4" t="s">
        <v>54</v>
      </c>
      <c r="H84" s="4" t="s">
        <v>20</v>
      </c>
      <c r="I84" s="10" t="s">
        <v>350</v>
      </c>
      <c r="K84" s="4" t="s">
        <v>22</v>
      </c>
      <c r="L84" s="4"/>
      <c r="M84" s="11"/>
      <c r="N84" s="4"/>
    </row>
    <row r="85" spans="1:14" ht="60" customHeight="1" x14ac:dyDescent="0.35">
      <c r="A85" s="15" t="s">
        <v>351</v>
      </c>
      <c r="B85" s="15" t="s">
        <v>336</v>
      </c>
      <c r="C85" s="15" t="s">
        <v>395</v>
      </c>
      <c r="D85" s="16" t="s">
        <v>352</v>
      </c>
      <c r="E85" s="16" t="s">
        <v>353</v>
      </c>
      <c r="F85" s="16" t="s">
        <v>18</v>
      </c>
      <c r="G85" s="16" t="s">
        <v>19</v>
      </c>
      <c r="H85" s="16" t="s">
        <v>20</v>
      </c>
      <c r="I85" s="17" t="s">
        <v>354</v>
      </c>
      <c r="K85" s="16" t="s">
        <v>22</v>
      </c>
      <c r="L85" s="16"/>
      <c r="M85" s="20"/>
      <c r="N85" s="16"/>
    </row>
  </sheetData>
  <conditionalFormatting sqref="B19:C19">
    <cfRule type="notContainsBlanks" dxfId="18" priority="14">
      <formula>LEN(TRIM(B19))&gt;0</formula>
    </cfRule>
  </conditionalFormatting>
  <conditionalFormatting sqref="B83:D84">
    <cfRule type="notContainsBlanks" dxfId="17" priority="11">
      <formula>LEN(TRIM(B83))&gt;0</formula>
    </cfRule>
  </conditionalFormatting>
  <conditionalFormatting sqref="B45:E59">
    <cfRule type="notContainsBlanks" dxfId="16" priority="5">
      <formula>LEN(TRIM(B45))&gt;0</formula>
    </cfRule>
  </conditionalFormatting>
  <conditionalFormatting sqref="C21:C22">
    <cfRule type="notContainsBlanks" dxfId="15" priority="3">
      <formula>LEN(TRIM(C21))&gt;0</formula>
    </cfRule>
  </conditionalFormatting>
  <conditionalFormatting sqref="C43:C44">
    <cfRule type="notContainsBlanks" dxfId="14" priority="1">
      <formula>LEN(TRIM(C43))&gt;0</formula>
    </cfRule>
  </conditionalFormatting>
  <conditionalFormatting sqref="C4:E4 D21:E22 K25:M25 K28:M28 D34:E34 G34:G36 D38:E38 D41:E44 E61:E62 G64:G65 B77:E78">
    <cfRule type="notContainsBlanks" dxfId="13" priority="17">
      <formula>LEN(TRIM(B4))&gt;0</formula>
    </cfRule>
  </conditionalFormatting>
  <conditionalFormatting sqref="G21:I22">
    <cfRule type="notContainsBlanks" dxfId="12" priority="16">
      <formula>LEN(TRIM(G21))&gt;0</formula>
    </cfRule>
  </conditionalFormatting>
  <conditionalFormatting sqref="H4:I4 K4:M4">
    <cfRule type="notContainsBlanks" dxfId="11" priority="15">
      <formula>LEN(TRIM(H4))&gt;0</formula>
    </cfRule>
  </conditionalFormatting>
  <conditionalFormatting sqref="I19">
    <cfRule type="notContainsBlanks" dxfId="10" priority="12">
      <formula>LEN(TRIM(I19))&gt;0</formula>
    </cfRule>
  </conditionalFormatting>
  <conditionalFormatting sqref="K2:L85">
    <cfRule type="containsText" dxfId="9" priority="6" operator="containsText" text="Not Applicable">
      <formula>NOT(ISERROR(SEARCH("Not Applicable",K2)))</formula>
    </cfRule>
    <cfRule type="containsText" dxfId="8" priority="7" operator="containsText" text="Partially Compliant">
      <formula>NOT(ISERROR(SEARCH("Partially Compliant",K2)))</formula>
    </cfRule>
    <cfRule type="containsText" dxfId="7" priority="8" operator="containsText" text="Non-compliant">
      <formula>NOT(ISERROR(SEARCH("Non-compliant",K2)))</formula>
    </cfRule>
    <cfRule type="containsText" dxfId="6" priority="9" operator="containsText" text="Compliant">
      <formula>NOT(ISERROR(SEARCH("Compliant",K2)))</formula>
    </cfRule>
    <cfRule type="containsText" priority="10" operator="containsText" text="Compliant">
      <formula>NOT(ISERROR(SEARCH("Compliant",K2)))</formula>
    </cfRule>
  </conditionalFormatting>
  <conditionalFormatting sqref="K4:L4">
    <cfRule type="cellIs" dxfId="5" priority="13" operator="equal">
      <formula>"Compliant"</formula>
    </cfRule>
  </conditionalFormatting>
  <dataValidations count="3">
    <dataValidation type="list" allowBlank="1" showInputMessage="1" showErrorMessage="1" sqref="H2:H85" xr:uid="{F94E351A-E046-47E9-91AE-6EA4CC79DE05}">
      <formula1>"Leading Practice, Regulatory Control"</formula1>
    </dataValidation>
    <dataValidation type="list" allowBlank="1" showInputMessage="1" showErrorMessage="1" sqref="K2:L85" xr:uid="{34041BAF-DE55-468D-913D-F54428A9EF57}">
      <formula1>"Compliant, Non-Compliant, Partially Compliant, Not Applicable"</formula1>
    </dataValidation>
    <dataValidation type="list" allowBlank="1" showInputMessage="1" showErrorMessage="1" sqref="G2:G85" xr:uid="{B5213AC6-E21E-4808-9EFB-565640F62E26}">
      <formula1>"Organization, Both"</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19FF5-1D80-45BA-B393-397048CC1FF5}">
  <sheetPr>
    <tabColor rgb="FFFF0000"/>
  </sheetPr>
  <dimension ref="D5:K48"/>
  <sheetViews>
    <sheetView showOutlineSymbols="0" showWhiteSpace="0" workbookViewId="0"/>
  </sheetViews>
  <sheetFormatPr defaultRowHeight="14.5" x14ac:dyDescent="0.35"/>
  <cols>
    <col min="4" max="4" width="30.1796875" bestFit="1" customWidth="1"/>
    <col min="5" max="5" width="45.54296875" bestFit="1" customWidth="1"/>
    <col min="6" max="6" width="16.54296875" bestFit="1" customWidth="1"/>
    <col min="7" max="7" width="15.7265625" bestFit="1" customWidth="1"/>
    <col min="8" max="8" width="13" bestFit="1" customWidth="1"/>
    <col min="9" max="9" width="5.81640625" bestFit="1" customWidth="1"/>
    <col min="10" max="10" width="6.54296875" bestFit="1" customWidth="1"/>
    <col min="11" max="11" width="5.26953125" bestFit="1" customWidth="1"/>
  </cols>
  <sheetData>
    <row r="5" spans="4:11" x14ac:dyDescent="0.35">
      <c r="E5" t="s">
        <v>355</v>
      </c>
      <c r="F5" t="s">
        <v>356</v>
      </c>
      <c r="G5" t="s">
        <v>357</v>
      </c>
      <c r="H5" t="s">
        <v>22</v>
      </c>
    </row>
    <row r="6" spans="4:11" x14ac:dyDescent="0.35">
      <c r="D6" t="s">
        <v>358</v>
      </c>
      <c r="E6">
        <v>0</v>
      </c>
      <c r="F6">
        <v>0</v>
      </c>
      <c r="G6">
        <v>0</v>
      </c>
      <c r="H6">
        <v>59</v>
      </c>
      <c r="I6">
        <v>60</v>
      </c>
    </row>
    <row r="7" spans="4:11" x14ac:dyDescent="0.35">
      <c r="D7" t="s">
        <v>359</v>
      </c>
      <c r="E7">
        <v>0</v>
      </c>
      <c r="F7">
        <v>0</v>
      </c>
      <c r="G7">
        <v>0</v>
      </c>
      <c r="H7">
        <v>25</v>
      </c>
      <c r="I7">
        <v>24</v>
      </c>
    </row>
    <row r="8" spans="4:11" x14ac:dyDescent="0.35">
      <c r="D8" t="s">
        <v>360</v>
      </c>
      <c r="E8">
        <v>0</v>
      </c>
      <c r="F8">
        <v>0</v>
      </c>
      <c r="G8">
        <v>0</v>
      </c>
      <c r="H8">
        <f>SUM(H6:H7)</f>
        <v>84</v>
      </c>
      <c r="I8">
        <f>SUM(I6:I7)</f>
        <v>84</v>
      </c>
    </row>
    <row r="13" spans="4:11" x14ac:dyDescent="0.35">
      <c r="G13" s="2"/>
    </row>
    <row r="16" spans="4:11" ht="15.5" x14ac:dyDescent="0.35">
      <c r="D16" s="5" t="s">
        <v>1</v>
      </c>
      <c r="E16" s="4" t="s">
        <v>355</v>
      </c>
      <c r="F16" s="4" t="s">
        <v>357</v>
      </c>
      <c r="G16" s="4" t="s">
        <v>356</v>
      </c>
      <c r="H16" s="4" t="s">
        <v>22</v>
      </c>
      <c r="I16" s="6" t="s">
        <v>361</v>
      </c>
      <c r="J16" s="7" t="s">
        <v>362</v>
      </c>
      <c r="K16" s="7" t="s">
        <v>363</v>
      </c>
    </row>
    <row r="17" spans="4:11" x14ac:dyDescent="0.35">
      <c r="D17" s="3" t="s">
        <v>15</v>
      </c>
      <c r="E17" s="7" t="e">
        <f>COUNTIFS(#REF!,$D17,#REF!,E$16)</f>
        <v>#REF!</v>
      </c>
      <c r="F17" s="7" t="e">
        <f>COUNTIFS(#REF!,$D17,#REF!,F$16)</f>
        <v>#REF!</v>
      </c>
      <c r="G17" s="7" t="e">
        <f>COUNTIFS(#REF!,$D17,#REF!,G$16)</f>
        <v>#REF!</v>
      </c>
      <c r="H17" s="7" t="e">
        <f>COUNTIFS(#REF!,$D17,#REF!,H$16)</f>
        <v>#REF!</v>
      </c>
      <c r="I17" s="8" t="e">
        <f>E17+(0.5*G17)</f>
        <v>#REF!</v>
      </c>
      <c r="J17" s="9" t="e">
        <f>IF(SUM(E17:G17)=0,"NA",I17/SUM(E17:G17))</f>
        <v>#REF!</v>
      </c>
      <c r="K17" s="7" t="e">
        <f>IF(J17="NA","Gray",IF(J17&gt;0.75,"Green",IF(J17&gt;0.5,"Yellow","Red")))</f>
        <v>#REF!</v>
      </c>
    </row>
    <row r="18" spans="4:11" x14ac:dyDescent="0.35">
      <c r="D18" s="1" t="s">
        <v>32</v>
      </c>
      <c r="E18" s="7" t="e">
        <f>COUNTIFS(#REF!,$D18,#REF!,E$16)</f>
        <v>#REF!</v>
      </c>
      <c r="F18" s="7" t="e">
        <f>COUNTIFS(#REF!,$D18,#REF!,F$16)</f>
        <v>#REF!</v>
      </c>
      <c r="G18" s="7" t="e">
        <f>COUNTIFS(#REF!,$D18,#REF!,G$16)</f>
        <v>#REF!</v>
      </c>
      <c r="H18" s="7" t="e">
        <f>COUNTIFS(#REF!,$D18,#REF!,H$16)</f>
        <v>#REF!</v>
      </c>
      <c r="I18" s="8" t="e">
        <f t="shared" ref="I18:I29" si="0">E18+(0.5*G18)</f>
        <v>#REF!</v>
      </c>
      <c r="J18" s="9" t="e">
        <f>IF(SUM(E18:G18)=0,"NA",I18/SUM(E18:G18))</f>
        <v>#REF!</v>
      </c>
      <c r="K18" s="7" t="e">
        <f t="shared" ref="K18:K29" si="1">IF(J18="NA","Gray",IF(J18&gt;0.75,"Green",IF(J18&gt;0.5,"Yellow","Red")))</f>
        <v>#REF!</v>
      </c>
    </row>
    <row r="19" spans="4:11" x14ac:dyDescent="0.35">
      <c r="D19" s="1" t="s">
        <v>70</v>
      </c>
      <c r="E19" s="7" t="e">
        <f>COUNTIFS(#REF!,$D19,#REF!,E$16)</f>
        <v>#REF!</v>
      </c>
      <c r="F19" s="7" t="e">
        <f>COUNTIFS(#REF!,$D19,#REF!,F$16)</f>
        <v>#REF!</v>
      </c>
      <c r="G19" s="7" t="e">
        <f>COUNTIFS(#REF!,$D19,#REF!,G$16)</f>
        <v>#REF!</v>
      </c>
      <c r="H19" s="7" t="e">
        <f>COUNTIFS(#REF!,$D19,#REF!,H$16)</f>
        <v>#REF!</v>
      </c>
      <c r="I19" s="8" t="e">
        <f t="shared" si="0"/>
        <v>#REF!</v>
      </c>
      <c r="J19" s="9" t="e">
        <f t="shared" ref="J19:J29" si="2">IF(SUM(E19:G19)=0,"NA",I19/SUM(E19:G19))</f>
        <v>#REF!</v>
      </c>
      <c r="K19" s="7" t="e">
        <f t="shared" si="1"/>
        <v>#REF!</v>
      </c>
    </row>
    <row r="20" spans="4:11" x14ac:dyDescent="0.35">
      <c r="D20" s="1" t="s">
        <v>100</v>
      </c>
      <c r="E20" s="7" t="e">
        <f>COUNTIFS(#REF!,$D20,#REF!,E$16)</f>
        <v>#REF!</v>
      </c>
      <c r="F20" s="7" t="e">
        <f>COUNTIFS(#REF!,$D20,#REF!,F$16)</f>
        <v>#REF!</v>
      </c>
      <c r="G20" s="7" t="e">
        <f>COUNTIFS(#REF!,$D20,#REF!,G$16)</f>
        <v>#REF!</v>
      </c>
      <c r="H20" s="7" t="e">
        <f>COUNTIFS(#REF!,$D20,#REF!,H$16)</f>
        <v>#REF!</v>
      </c>
      <c r="I20" s="8" t="e">
        <f t="shared" si="0"/>
        <v>#REF!</v>
      </c>
      <c r="J20" s="9" t="e">
        <f t="shared" si="2"/>
        <v>#REF!</v>
      </c>
      <c r="K20" s="7" t="e">
        <f t="shared" si="1"/>
        <v>#REF!</v>
      </c>
    </row>
    <row r="21" spans="4:11" x14ac:dyDescent="0.35">
      <c r="D21" s="1" t="s">
        <v>107</v>
      </c>
      <c r="E21" s="7" t="e">
        <f>COUNTIFS(#REF!,$D21,#REF!,E$16)</f>
        <v>#REF!</v>
      </c>
      <c r="F21" s="7" t="e">
        <f>COUNTIFS(#REF!,$D21,#REF!,F$16)</f>
        <v>#REF!</v>
      </c>
      <c r="G21" s="7" t="e">
        <f>COUNTIFS(#REF!,$D21,#REF!,G$16)</f>
        <v>#REF!</v>
      </c>
      <c r="H21" s="7" t="e">
        <f>COUNTIFS(#REF!,$D21,#REF!,H$16)</f>
        <v>#REF!</v>
      </c>
      <c r="I21" s="8" t="e">
        <f t="shared" si="0"/>
        <v>#REF!</v>
      </c>
      <c r="J21" s="9" t="e">
        <f t="shared" si="2"/>
        <v>#REF!</v>
      </c>
      <c r="K21" s="7" t="e">
        <f t="shared" si="1"/>
        <v>#REF!</v>
      </c>
    </row>
    <row r="22" spans="4:11" x14ac:dyDescent="0.35">
      <c r="D22" s="1" t="s">
        <v>126</v>
      </c>
      <c r="E22" s="7" t="e">
        <f>COUNTIFS(#REF!,$D22,#REF!,E$16)</f>
        <v>#REF!</v>
      </c>
      <c r="F22" s="7" t="e">
        <f>COUNTIFS(#REF!,$D22,#REF!,F$16)</f>
        <v>#REF!</v>
      </c>
      <c r="G22" s="7" t="e">
        <f>COUNTIFS(#REF!,$D22,#REF!,G$16)</f>
        <v>#REF!</v>
      </c>
      <c r="H22" s="7" t="e">
        <f>COUNTIFS(#REF!,$D22,#REF!,H$16)</f>
        <v>#REF!</v>
      </c>
      <c r="I22" s="8" t="e">
        <f t="shared" si="0"/>
        <v>#REF!</v>
      </c>
      <c r="J22" s="9" t="e">
        <f t="shared" si="2"/>
        <v>#REF!</v>
      </c>
      <c r="K22" s="7" t="e">
        <f t="shared" si="1"/>
        <v>#REF!</v>
      </c>
    </row>
    <row r="23" spans="4:11" x14ac:dyDescent="0.35">
      <c r="D23" s="1" t="s">
        <v>141</v>
      </c>
      <c r="E23" s="7" t="e">
        <f>COUNTIFS(#REF!,$D23,#REF!,E$16)</f>
        <v>#REF!</v>
      </c>
      <c r="F23" s="7" t="e">
        <f>COUNTIFS(#REF!,$D23,#REF!,F$16)</f>
        <v>#REF!</v>
      </c>
      <c r="G23" s="7" t="e">
        <f>COUNTIFS(#REF!,$D23,#REF!,G$16)</f>
        <v>#REF!</v>
      </c>
      <c r="H23" s="7" t="e">
        <f>COUNTIFS(#REF!,$D23,#REF!,H$16)</f>
        <v>#REF!</v>
      </c>
      <c r="I23" s="8" t="e">
        <f t="shared" si="0"/>
        <v>#REF!</v>
      </c>
      <c r="J23" s="9" t="e">
        <f t="shared" si="2"/>
        <v>#REF!</v>
      </c>
      <c r="K23" s="7" t="e">
        <f t="shared" si="1"/>
        <v>#REF!</v>
      </c>
    </row>
    <row r="24" spans="4:11" x14ac:dyDescent="0.35">
      <c r="D24" s="1" t="s">
        <v>148</v>
      </c>
      <c r="E24" s="7" t="e">
        <f>COUNTIFS(#REF!,$D24,#REF!,E$16)</f>
        <v>#REF!</v>
      </c>
      <c r="F24" s="7" t="e">
        <f>COUNTIFS(#REF!,$D24,#REF!,F$16)</f>
        <v>#REF!</v>
      </c>
      <c r="G24" s="7" t="e">
        <f>COUNTIFS(#REF!,$D24,#REF!,G$16)</f>
        <v>#REF!</v>
      </c>
      <c r="H24" s="7" t="e">
        <f>COUNTIFS(#REF!,$D24,#REF!,H$16)</f>
        <v>#REF!</v>
      </c>
      <c r="I24" s="8" t="e">
        <f t="shared" si="0"/>
        <v>#REF!</v>
      </c>
      <c r="J24" s="9" t="e">
        <f t="shared" si="2"/>
        <v>#REF!</v>
      </c>
      <c r="K24" s="7" t="e">
        <f t="shared" si="1"/>
        <v>#REF!</v>
      </c>
    </row>
    <row r="25" spans="4:11" x14ac:dyDescent="0.35">
      <c r="D25" s="1" t="s">
        <v>196</v>
      </c>
      <c r="E25" s="7" t="e">
        <f>COUNTIFS(#REF!,$D25,#REF!,E$16)</f>
        <v>#REF!</v>
      </c>
      <c r="F25" s="7" t="e">
        <f>COUNTIFS(#REF!,$D25,#REF!,F$16)</f>
        <v>#REF!</v>
      </c>
      <c r="G25" s="7" t="e">
        <f>COUNTIFS(#REF!,$D25,#REF!,G$16)</f>
        <v>#REF!</v>
      </c>
      <c r="H25" s="7" t="e">
        <f>COUNTIFS(#REF!,$D25,#REF!,H$16)</f>
        <v>#REF!</v>
      </c>
      <c r="I25" s="8" t="e">
        <f t="shared" si="0"/>
        <v>#REF!</v>
      </c>
      <c r="J25" s="9" t="e">
        <f t="shared" si="2"/>
        <v>#REF!</v>
      </c>
      <c r="K25" s="7" t="e">
        <f t="shared" si="1"/>
        <v>#REF!</v>
      </c>
    </row>
    <row r="26" spans="4:11" x14ac:dyDescent="0.35">
      <c r="D26" s="1" t="s">
        <v>216</v>
      </c>
      <c r="E26" s="7" t="e">
        <f>COUNTIFS(#REF!,$D26,#REF!,E$16)</f>
        <v>#REF!</v>
      </c>
      <c r="F26" s="7" t="e">
        <f>COUNTIFS(#REF!,$D26,#REF!,F$16)</f>
        <v>#REF!</v>
      </c>
      <c r="G26" s="7" t="e">
        <f>COUNTIFS(#REF!,$D26,#REF!,G$16)</f>
        <v>#REF!</v>
      </c>
      <c r="H26" s="7" t="e">
        <f>COUNTIFS(#REF!,$D26,#REF!,H$16)</f>
        <v>#REF!</v>
      </c>
      <c r="I26" s="8" t="e">
        <f t="shared" si="0"/>
        <v>#REF!</v>
      </c>
      <c r="J26" s="9" t="e">
        <f t="shared" si="2"/>
        <v>#REF!</v>
      </c>
      <c r="K26" s="7" t="e">
        <f t="shared" si="1"/>
        <v>#REF!</v>
      </c>
    </row>
    <row r="27" spans="4:11" x14ac:dyDescent="0.35">
      <c r="D27" s="1" t="s">
        <v>257</v>
      </c>
      <c r="E27" s="7" t="e">
        <f>COUNTIFS(#REF!,$D27,#REF!,E$16)</f>
        <v>#REF!</v>
      </c>
      <c r="F27" s="7" t="e">
        <f>COUNTIFS(#REF!,$D27,#REF!,F$16)</f>
        <v>#REF!</v>
      </c>
      <c r="G27" s="7" t="e">
        <f>COUNTIFS(#REF!,$D27,#REF!,G$16)</f>
        <v>#REF!</v>
      </c>
      <c r="H27" s="7" t="e">
        <f>COUNTIFS(#REF!,$D27,#REF!,H$16)</f>
        <v>#REF!</v>
      </c>
      <c r="I27" s="8" t="e">
        <f t="shared" si="0"/>
        <v>#REF!</v>
      </c>
      <c r="J27" s="9" t="e">
        <f t="shared" si="2"/>
        <v>#REF!</v>
      </c>
      <c r="K27" s="7" t="e">
        <f t="shared" si="1"/>
        <v>#REF!</v>
      </c>
    </row>
    <row r="28" spans="4:11" x14ac:dyDescent="0.35">
      <c r="D28" s="1" t="s">
        <v>266</v>
      </c>
      <c r="E28" s="7" t="e">
        <f>COUNTIFS(#REF!,$D28,#REF!,E$16)</f>
        <v>#REF!</v>
      </c>
      <c r="F28" s="7" t="e">
        <f>COUNTIFS(#REF!,$D28,#REF!,F$16)</f>
        <v>#REF!</v>
      </c>
      <c r="G28" s="7" t="e">
        <f>COUNTIFS(#REF!,$D28,#REF!,G$16)</f>
        <v>#REF!</v>
      </c>
      <c r="H28" s="7" t="e">
        <f>COUNTIFS(#REF!,$D28,#REF!,H$16)</f>
        <v>#REF!</v>
      </c>
      <c r="I28" s="8" t="e">
        <f t="shared" si="0"/>
        <v>#REF!</v>
      </c>
      <c r="J28" s="9" t="e">
        <f t="shared" si="2"/>
        <v>#REF!</v>
      </c>
      <c r="K28" s="7" t="e">
        <f t="shared" si="1"/>
        <v>#REF!</v>
      </c>
    </row>
    <row r="29" spans="4:11" x14ac:dyDescent="0.35">
      <c r="D29" s="1" t="s">
        <v>281</v>
      </c>
      <c r="E29" s="7" t="e">
        <f>COUNTIFS(#REF!,$D29,#REF!,E$16)</f>
        <v>#REF!</v>
      </c>
      <c r="F29" s="7" t="e">
        <f>COUNTIFS(#REF!,$D29,#REF!,F$16)</f>
        <v>#REF!</v>
      </c>
      <c r="G29" s="7" t="e">
        <f>COUNTIFS(#REF!,$D29,#REF!,G$16)</f>
        <v>#REF!</v>
      </c>
      <c r="H29" s="7" t="e">
        <f>COUNTIFS(#REF!,$D29,#REF!,H$16)</f>
        <v>#REF!</v>
      </c>
      <c r="I29" s="8" t="e">
        <f t="shared" si="0"/>
        <v>#REF!</v>
      </c>
      <c r="J29" s="9" t="e">
        <f t="shared" si="2"/>
        <v>#REF!</v>
      </c>
      <c r="K29" s="7" t="e">
        <f t="shared" si="1"/>
        <v>#REF!</v>
      </c>
    </row>
    <row r="30" spans="4:11" x14ac:dyDescent="0.35">
      <c r="D30" s="1" t="s">
        <v>328</v>
      </c>
      <c r="E30" s="7" t="e">
        <f>COUNTIFS(#REF!,$D30,#REF!,E$16)</f>
        <v>#REF!</v>
      </c>
      <c r="F30" s="7" t="e">
        <f>COUNTIFS(#REF!,$D30,#REF!,F$16)</f>
        <v>#REF!</v>
      </c>
      <c r="G30" s="7" t="e">
        <f>COUNTIFS(#REF!,$D30,#REF!,G$16)</f>
        <v>#REF!</v>
      </c>
      <c r="H30" s="7" t="e">
        <f>COUNTIFS(#REF!,$D30,#REF!,H$16)</f>
        <v>#REF!</v>
      </c>
      <c r="I30" s="8" t="e">
        <f t="shared" ref="I30:I31" si="3">E30+(0.5*G30)</f>
        <v>#REF!</v>
      </c>
      <c r="J30" s="9" t="e">
        <f t="shared" ref="J30:J31" si="4">IF(SUM(E30:G30)=0,"NA",I30/SUM(E30:G30))</f>
        <v>#REF!</v>
      </c>
      <c r="K30" s="7" t="e">
        <f t="shared" ref="K30:K31" si="5">IF(J30="NA","Gray",IF(J30&gt;0.75,"Green",IF(J30&gt;0.5,"Yellow","Red")))</f>
        <v>#REF!</v>
      </c>
    </row>
    <row r="31" spans="4:11" x14ac:dyDescent="0.35">
      <c r="D31" s="1" t="s">
        <v>336</v>
      </c>
      <c r="E31" s="7" t="e">
        <f>COUNTIFS(#REF!,$D31,#REF!,E$16)</f>
        <v>#REF!</v>
      </c>
      <c r="F31" s="7" t="e">
        <f>COUNTIFS(#REF!,$D31,#REF!,F$16)</f>
        <v>#REF!</v>
      </c>
      <c r="G31" s="7" t="e">
        <f>COUNTIFS(#REF!,$D31,#REF!,G$16)</f>
        <v>#REF!</v>
      </c>
      <c r="H31" s="7" t="e">
        <f>COUNTIFS(#REF!,$D31,#REF!,H$16)</f>
        <v>#REF!</v>
      </c>
      <c r="I31" s="8" t="e">
        <f t="shared" si="3"/>
        <v>#REF!</v>
      </c>
      <c r="J31" s="9" t="e">
        <f t="shared" si="4"/>
        <v>#REF!</v>
      </c>
      <c r="K31" s="7" t="e">
        <f t="shared" si="5"/>
        <v>#REF!</v>
      </c>
    </row>
    <row r="34" spans="4:4" x14ac:dyDescent="0.35">
      <c r="D34" s="3" t="s">
        <v>15</v>
      </c>
    </row>
    <row r="35" spans="4:4" x14ac:dyDescent="0.35">
      <c r="D35" s="1" t="s">
        <v>32</v>
      </c>
    </row>
    <row r="36" spans="4:4" x14ac:dyDescent="0.35">
      <c r="D36" s="1" t="s">
        <v>70</v>
      </c>
    </row>
    <row r="37" spans="4:4" x14ac:dyDescent="0.35">
      <c r="D37" s="1" t="s">
        <v>100</v>
      </c>
    </row>
    <row r="38" spans="4:4" x14ac:dyDescent="0.35">
      <c r="D38" s="1" t="s">
        <v>107</v>
      </c>
    </row>
    <row r="39" spans="4:4" x14ac:dyDescent="0.35">
      <c r="D39" s="1" t="s">
        <v>126</v>
      </c>
    </row>
    <row r="40" spans="4:4" x14ac:dyDescent="0.35">
      <c r="D40" s="1" t="s">
        <v>141</v>
      </c>
    </row>
    <row r="41" spans="4:4" x14ac:dyDescent="0.35">
      <c r="D41" s="1" t="s">
        <v>148</v>
      </c>
    </row>
    <row r="42" spans="4:4" x14ac:dyDescent="0.35">
      <c r="D42" s="1" t="s">
        <v>196</v>
      </c>
    </row>
    <row r="43" spans="4:4" x14ac:dyDescent="0.35">
      <c r="D43" s="1" t="s">
        <v>216</v>
      </c>
    </row>
    <row r="44" spans="4:4" x14ac:dyDescent="0.35">
      <c r="D44" s="1" t="s">
        <v>257</v>
      </c>
    </row>
    <row r="45" spans="4:4" x14ac:dyDescent="0.35">
      <c r="D45" s="1" t="s">
        <v>266</v>
      </c>
    </row>
    <row r="46" spans="4:4" x14ac:dyDescent="0.35">
      <c r="D46" s="1" t="s">
        <v>281</v>
      </c>
    </row>
    <row r="47" spans="4:4" x14ac:dyDescent="0.35">
      <c r="D47" s="1" t="s">
        <v>328</v>
      </c>
    </row>
    <row r="48" spans="4:4" x14ac:dyDescent="0.35">
      <c r="D48" s="1" t="s">
        <v>336</v>
      </c>
    </row>
  </sheetData>
  <sheetProtection selectLockedCells="1"/>
  <conditionalFormatting sqref="D33">
    <cfRule type="duplicateValues" dxfId="4" priority="85"/>
  </conditionalFormatting>
  <conditionalFormatting sqref="E16:I16">
    <cfRule type="containsText" dxfId="3" priority="6" operator="containsText" text="Not Applicable">
      <formula>NOT(ISERROR(SEARCH("Not Applicable",E16)))</formula>
    </cfRule>
    <cfRule type="containsText" dxfId="2" priority="7" operator="containsText" text="Partially Compliant">
      <formula>NOT(ISERROR(SEARCH("Partially Compliant",E16)))</formula>
    </cfRule>
    <cfRule type="containsText" dxfId="1" priority="8" operator="containsText" text="Non-compliant">
      <formula>NOT(ISERROR(SEARCH("Non-compliant",E16)))</formula>
    </cfRule>
    <cfRule type="containsText" dxfId="0" priority="9" operator="containsText" text="Compliant">
      <formula>NOT(ISERROR(SEARCH("Compliant",E16)))</formula>
    </cfRule>
    <cfRule type="containsText" priority="10" operator="containsText" text="Compliant">
      <formula>NOT(ISERROR(SEARCH("Compliant",E16)))</formula>
    </cfRule>
  </conditionalFormatting>
  <dataValidations count="1">
    <dataValidation type="list" allowBlank="1" showInputMessage="1" showErrorMessage="1" sqref="E16:H16" xr:uid="{DD831D8C-0DCE-4142-B5A8-7D2672352483}">
      <formula1>"Compliant, Non-Compliant, Partially Compliant, Not Applicable"</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C9B5E87D5EA5E41B3682AC146829811" ma:contentTypeVersion="14" ma:contentTypeDescription="Create a new document." ma:contentTypeScope="" ma:versionID="992598467420ccb6d482bbed95a9d717">
  <xsd:schema xmlns:xsd="http://www.w3.org/2001/XMLSchema" xmlns:xs="http://www.w3.org/2001/XMLSchema" xmlns:p="http://schemas.microsoft.com/office/2006/metadata/properties" xmlns:ns2="080caff8-e5d1-4314-85f2-a13af7dd55da" xmlns:ns3="ec712389-91a3-4f2e-9663-35168c5418af" targetNamespace="http://schemas.microsoft.com/office/2006/metadata/properties" ma:root="true" ma:fieldsID="10f716cecc577b9526e770fe272e74e0" ns2:_="" ns3:_="">
    <xsd:import namespace="080caff8-e5d1-4314-85f2-a13af7dd55da"/>
    <xsd:import namespace="ec712389-91a3-4f2e-9663-35168c5418a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0caff8-e5d1-4314-85f2-a13af7dd55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e11caee8-3af4-49d1-813d-058414db5260"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c712389-91a3-4f2e-9663-35168c5418af"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fc9d43c4-6e24-473d-bf4f-b4a0ea3f3d8f}" ma:internalName="TaxCatchAll" ma:showField="CatchAllData" ma:web="ec712389-91a3-4f2e-9663-35168c5418af">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80caff8-e5d1-4314-85f2-a13af7dd55da">
      <Terms xmlns="http://schemas.microsoft.com/office/infopath/2007/PartnerControls"/>
    </lcf76f155ced4ddcb4097134ff3c332f>
    <TaxCatchAll xmlns="ec712389-91a3-4f2e-9663-35168c5418af" xsi:nil="true"/>
    <SharedWithUsers xmlns="ec712389-91a3-4f2e-9663-35168c5418af">
      <UserInfo>
        <DisplayName>Zulkepli bin Jaafar</DisplayName>
        <AccountId>170</AccountId>
        <AccountType/>
      </UserInfo>
      <UserInfo>
        <DisplayName>Ahmad Shahir bin Mahfudz</DisplayName>
        <AccountId>346</AccountId>
        <AccountType/>
      </UserInfo>
      <UserInfo>
        <DisplayName>Mohd Azuddin Sham bin Abdullah</DisplayName>
        <AccountId>347</AccountId>
        <AccountType/>
      </UserInfo>
      <UserInfo>
        <DisplayName>Farid Hamdi Bin Mohd Radzidin</DisplayName>
        <AccountId>12</AccountId>
        <AccountType/>
      </UserInfo>
      <UserInfo>
        <DisplayName>Nurul Asma binti Safiee</DisplayName>
        <AccountId>29</AccountId>
        <AccountType/>
      </UserInfo>
      <UserInfo>
        <DisplayName>Mohd Yazid bin Jali</DisplayName>
        <AccountId>144</AccountId>
        <AccountType/>
      </UserInfo>
      <UserInfo>
        <DisplayName>Mohd El Zahrul bin Mohd Rifin</DisplayName>
        <AccountId>159</AccountId>
        <AccountType/>
      </UserInfo>
      <UserInfo>
        <DisplayName>Shaharin bin Sulaiman</DisplayName>
        <AccountId>251</AccountId>
        <AccountType/>
      </UserInfo>
      <UserInfo>
        <DisplayName>Harman bin Hamid</DisplayName>
        <AccountId>152</AccountId>
        <AccountType/>
      </UserInfo>
      <UserInfo>
        <DisplayName>Aida Munira binti Abdul Manan</DisplayName>
        <AccountId>125</AccountId>
        <AccountType/>
      </UserInfo>
      <UserInfo>
        <DisplayName>Abuzar Bin Mansor</DisplayName>
        <AccountId>223</AccountId>
        <AccountType/>
      </UserInfo>
      <UserInfo>
        <DisplayName>Natrina binti Majid</DisplayName>
        <AccountId>245</AccountId>
        <AccountType/>
      </UserInfo>
      <UserInfo>
        <DisplayName>Fadzihan Abbas bin Mohamed Ramlee</DisplayName>
        <AccountId>349</AccountId>
        <AccountType/>
      </UserInfo>
      <UserInfo>
        <DisplayName>Fairuz Suzana binti Hj Kamaruddin</DisplayName>
        <AccountId>297</AccountId>
        <AccountType/>
      </UserInfo>
    </SharedWithUsers>
  </documentManagement>
</p:properties>
</file>

<file path=customXml/itemProps1.xml><?xml version="1.0" encoding="utf-8"?>
<ds:datastoreItem xmlns:ds="http://schemas.openxmlformats.org/officeDocument/2006/customXml" ds:itemID="{90DB2984-E423-4B52-B7B1-9BB9F8C342C7}">
  <ds:schemaRefs>
    <ds:schemaRef ds:uri="http://schemas.microsoft.com/sharepoint/v3/contenttype/forms"/>
  </ds:schemaRefs>
</ds:datastoreItem>
</file>

<file path=customXml/itemProps2.xml><?xml version="1.0" encoding="utf-8"?>
<ds:datastoreItem xmlns:ds="http://schemas.openxmlformats.org/officeDocument/2006/customXml" ds:itemID="{3A72004A-C6FB-42E3-BC1E-3ABACF0267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80caff8-e5d1-4314-85f2-a13af7dd55da"/>
    <ds:schemaRef ds:uri="ec712389-91a3-4f2e-9663-35168c5418a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86450E6-5E2C-4768-9746-CCC748FFE661}">
  <ds:schemaRefs>
    <ds:schemaRef ds:uri="http://schemas.microsoft.com/office/2006/metadata/properties"/>
    <ds:schemaRef ds:uri="http://schemas.microsoft.com/office/infopath/2007/PartnerControls"/>
    <ds:schemaRef ds:uri="080caff8-e5d1-4314-85f2-a13af7dd55da"/>
    <ds:schemaRef ds:uri="ec712389-91a3-4f2e-9663-35168c5418af"/>
  </ds:schemaRefs>
</ds:datastoreItem>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Protection Framework 1</vt:lpstr>
      <vt:lpstr>raw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 Ram</dc:creator>
  <cp:keywords/>
  <dc:description/>
  <cp:lastModifiedBy>Lis Nabilah Binti Zamani</cp:lastModifiedBy>
  <cp:revision/>
  <dcterms:created xsi:type="dcterms:W3CDTF">2021-11-22T04:48:30Z</dcterms:created>
  <dcterms:modified xsi:type="dcterms:W3CDTF">2025-10-21T15:02:26Z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0x010100EC9B5E87D5EA5E41B3682AC146829811</vt:lpwstr>
  </property>
  <property fmtid="{D5CDD505-2E9C-101B-9397-08002B2CF9AE}" pid="3" name="MediaServiceImageTags">
    <vt:lpwstr/>
  </property>
</Properties>
</file>